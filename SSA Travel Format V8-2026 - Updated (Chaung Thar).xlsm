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W-EMIN\Downloads\"/>
    </mc:Choice>
  </mc:AlternateContent>
  <xr:revisionPtr revIDLastSave="0" documentId="13_ncr:1_{AAE904B1-3C7F-4D15-8C15-0E7F0A565C10}" xr6:coauthVersionLast="47" xr6:coauthVersionMax="47" xr10:uidLastSave="{00000000-0000-0000-0000-000000000000}"/>
  <bookViews>
    <workbookView xWindow="57480" yWindow="-120" windowWidth="29040" windowHeight="15840" tabRatio="485" xr2:uid="{00000000-000D-0000-FFFF-FFFF00000000}"/>
  </bookViews>
  <sheets>
    <sheet name="Travel" sheetId="34" r:id="rId1"/>
    <sheet name="Sheet1" sheetId="41" state="hidden" r:id="rId2"/>
    <sheet name="drop list" sheetId="36" r:id="rId3"/>
    <sheet name="Sheet2" sheetId="38" state="hidden" r:id="rId4"/>
    <sheet name="Sheet4" sheetId="40" state="hidden" r:id="rId5"/>
    <sheet name="Sheet3" sheetId="39" state="hidden" r:id="rId6"/>
    <sheet name="drop list (2)" sheetId="37" r:id="rId7"/>
  </sheets>
  <definedNames>
    <definedName name="City" localSheetId="6">'drop list (2)'!$A$4:$A$57</definedName>
    <definedName name="Deductions" localSheetId="6">'drop list (2)'!#REF!</definedName>
    <definedName name="Deductions">#REF!</definedName>
    <definedName name="ModeOfTravel" localSheetId="6">'drop list (2)'!#REF!</definedName>
    <definedName name="ModeOfTravel">#REF!</definedName>
    <definedName name="_xlnm.Print_Area" localSheetId="0">Travel!$A$1:$S$15</definedName>
    <definedName name="Team" localSheetId="6">'drop list (2)'!#REF!</definedName>
    <definedName name="Team">#REF!</definedName>
    <definedName name="Townships" localSheetId="6">'drop list (2)'!#REF!</definedName>
    <definedName name="Townships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34" l="1"/>
  <c r="G4" i="36" l="1"/>
  <c r="E4" i="36" s="1"/>
  <c r="G5" i="36"/>
  <c r="E5" i="36" s="1"/>
  <c r="G6" i="36"/>
  <c r="E6" i="36" s="1"/>
  <c r="G7" i="36"/>
  <c r="E7" i="36" s="1"/>
  <c r="G8" i="36"/>
  <c r="E8" i="36" s="1"/>
  <c r="G9" i="36"/>
  <c r="E9" i="36" s="1"/>
  <c r="G10" i="36"/>
  <c r="E10" i="36" s="1"/>
  <c r="G11" i="36"/>
  <c r="E11" i="36" s="1"/>
  <c r="G12" i="36"/>
  <c r="E12" i="36" s="1"/>
  <c r="G13" i="36"/>
  <c r="E13" i="36" s="1"/>
  <c r="G14" i="36"/>
  <c r="E14" i="36" s="1"/>
  <c r="G15" i="36"/>
  <c r="E15" i="36" s="1"/>
  <c r="G16" i="36"/>
  <c r="E16" i="36" s="1"/>
  <c r="G17" i="36"/>
  <c r="E17" i="36" s="1"/>
  <c r="G18" i="36"/>
  <c r="E18" i="36" s="1"/>
  <c r="G19" i="36"/>
  <c r="E19" i="36" s="1"/>
  <c r="G20" i="36"/>
  <c r="E20" i="36" s="1"/>
  <c r="G21" i="36"/>
  <c r="E21" i="36" s="1"/>
  <c r="G22" i="36"/>
  <c r="E22" i="36" s="1"/>
  <c r="G23" i="36"/>
  <c r="E23" i="36" s="1"/>
  <c r="G24" i="36"/>
  <c r="E24" i="36" s="1"/>
  <c r="G25" i="36"/>
  <c r="E25" i="36" s="1"/>
  <c r="G26" i="36"/>
  <c r="E26" i="36" s="1"/>
  <c r="G27" i="36"/>
  <c r="E27" i="36" s="1"/>
  <c r="G28" i="36"/>
  <c r="E28" i="36" s="1"/>
  <c r="G29" i="36"/>
  <c r="E29" i="36" s="1"/>
  <c r="G30" i="36"/>
  <c r="E30" i="36" s="1"/>
  <c r="G31" i="36"/>
  <c r="E31" i="36" s="1"/>
  <c r="G32" i="36"/>
  <c r="E32" i="36" s="1"/>
  <c r="G33" i="36"/>
  <c r="E33" i="36" s="1"/>
  <c r="K5" i="34" s="1"/>
  <c r="G34" i="36"/>
  <c r="E34" i="36" s="1"/>
  <c r="G35" i="36"/>
  <c r="E35" i="36" s="1"/>
  <c r="G36" i="36"/>
  <c r="N11" i="36"/>
  <c r="N10" i="36"/>
  <c r="N9" i="36"/>
  <c r="N8" i="36"/>
  <c r="N7" i="36"/>
  <c r="L6" i="34"/>
  <c r="M6" i="34"/>
  <c r="N6" i="34"/>
  <c r="D6" i="34"/>
  <c r="N7" i="34"/>
  <c r="K4" i="34" l="1"/>
  <c r="P5" i="34"/>
  <c r="I6" i="34"/>
  <c r="L7" i="34"/>
  <c r="M7" i="34"/>
  <c r="I7" i="34"/>
  <c r="K6" i="34" l="1"/>
  <c r="K7" i="34" s="1"/>
  <c r="P4" i="34"/>
  <c r="P6" i="34" l="1"/>
  <c r="P7" i="3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MON, Lei Lei</author>
  </authors>
  <commentList>
    <comment ref="N3" authorId="0" shapeId="0" xr:uid="{78B4A873-35A6-4547-8AC5-06BA0CD6C2D2}">
      <text>
        <r>
          <rPr>
            <sz val="9"/>
            <color indexed="81"/>
            <rFont val="Tahoma"/>
            <family val="2"/>
          </rPr>
          <t>Mandalay, Naypyitaw,Heho (25USD), Others (10USD)</t>
        </r>
      </text>
    </comment>
  </commentList>
</comments>
</file>

<file path=xl/sharedStrings.xml><?xml version="1.0" encoding="utf-8"?>
<sst xmlns="http://schemas.openxmlformats.org/spreadsheetml/2006/main" count="1181" uniqueCount="479">
  <si>
    <t>V3-2024</t>
  </si>
  <si>
    <t>From</t>
  </si>
  <si>
    <t>Month:</t>
  </si>
  <si>
    <t>I2</t>
  </si>
  <si>
    <t>K2</t>
  </si>
  <si>
    <t>L4</t>
  </si>
  <si>
    <t>M4</t>
  </si>
  <si>
    <t>N4</t>
  </si>
  <si>
    <t>P4</t>
  </si>
  <si>
    <t>Submission date:</t>
  </si>
  <si>
    <t>Team</t>
  </si>
  <si>
    <t>Name of the traveller/Capacity</t>
  </si>
  <si>
    <t>Date</t>
  </si>
  <si>
    <t>From (Area)</t>
  </si>
  <si>
    <t>Township</t>
  </si>
  <si>
    <t>To (Area)</t>
  </si>
  <si>
    <t>Mode of Travel</t>
  </si>
  <si>
    <t>No of days</t>
  </si>
  <si>
    <t>Deductions</t>
  </si>
  <si>
    <t>Total Per-diem</t>
  </si>
  <si>
    <t>Travel cost+Actual Hotel Bill</t>
  </si>
  <si>
    <t>Air Ticket Cost</t>
  </si>
  <si>
    <t>Terminal Allowance</t>
  </si>
  <si>
    <t>Exchange rate</t>
  </si>
  <si>
    <t>Total Amount (MMK)</t>
  </si>
  <si>
    <t>Purpose of travel</t>
  </si>
  <si>
    <t>IPO Number</t>
  </si>
  <si>
    <t>Remark</t>
  </si>
  <si>
    <t>EPI</t>
  </si>
  <si>
    <t>Yangon</t>
  </si>
  <si>
    <t>Naypyitaw</t>
  </si>
  <si>
    <t>Air</t>
  </si>
  <si>
    <t>Hotel + Breakfast+Lunch (33%)</t>
  </si>
  <si>
    <t>-</t>
  </si>
  <si>
    <t>Grand Total</t>
  </si>
  <si>
    <t>………………………………….</t>
  </si>
  <si>
    <t>…………………………..</t>
  </si>
  <si>
    <t>Manual entry</t>
  </si>
  <si>
    <t>Drop down list</t>
  </si>
  <si>
    <t>Automatic calculation</t>
  </si>
  <si>
    <t>Elsewhere</t>
  </si>
  <si>
    <t>State/Region</t>
  </si>
  <si>
    <t>Ahlone</t>
  </si>
  <si>
    <t>City</t>
  </si>
  <si>
    <t>DSA (Rate)2</t>
  </si>
  <si>
    <t>Perdiem</t>
  </si>
  <si>
    <t>Column1</t>
  </si>
  <si>
    <t>Hotel component</t>
  </si>
  <si>
    <t>Terminal allowance (air)</t>
  </si>
  <si>
    <t>payment %</t>
  </si>
  <si>
    <t>Amarapura</t>
  </si>
  <si>
    <t>Mandalay</t>
  </si>
  <si>
    <t>ADM</t>
  </si>
  <si>
    <t>Chaung Tha Beach</t>
  </si>
  <si>
    <t>Ann</t>
  </si>
  <si>
    <t>Rakhine</t>
  </si>
  <si>
    <t>DSE</t>
  </si>
  <si>
    <t>Boat</t>
  </si>
  <si>
    <t>Dawei</t>
  </si>
  <si>
    <t>Heho</t>
  </si>
  <si>
    <t>Non-Hotel Component(None)</t>
  </si>
  <si>
    <t>Aunglan</t>
  </si>
  <si>
    <t>Magway</t>
  </si>
  <si>
    <t>Coach</t>
  </si>
  <si>
    <t>Dawei (Hotel Dawei)</t>
  </si>
  <si>
    <t>Full deduction (100%)</t>
  </si>
  <si>
    <t>Aungmyaythazan</t>
  </si>
  <si>
    <t>ERM/WHE</t>
  </si>
  <si>
    <t>Official Vehicle</t>
  </si>
  <si>
    <t>Hotel + Breakfast(11%)</t>
  </si>
  <si>
    <t>Ayadaw</t>
  </si>
  <si>
    <t>Sagaing</t>
  </si>
  <si>
    <t>HIV</t>
  </si>
  <si>
    <t>Private Vehicle</t>
  </si>
  <si>
    <t>Hpa An (Hpa An Lodge)</t>
  </si>
  <si>
    <t>Hotel + Lunch(22%)</t>
  </si>
  <si>
    <t>Bago</t>
  </si>
  <si>
    <t>HSS</t>
  </si>
  <si>
    <t>Cycle Taxi</t>
  </si>
  <si>
    <t>Inle (Aureum Palace and Inle Prince</t>
  </si>
  <si>
    <t>Hotel + Dinner(22%)</t>
  </si>
  <si>
    <t>Bahan</t>
  </si>
  <si>
    <t>MAL</t>
  </si>
  <si>
    <t>Train</t>
  </si>
  <si>
    <t>Loikaw</t>
  </si>
  <si>
    <t>Banmauk</t>
  </si>
  <si>
    <t>NCD</t>
  </si>
  <si>
    <t>Rented vehicle</t>
  </si>
  <si>
    <t>Hotel + 3 meals (55%)</t>
  </si>
  <si>
    <t>Bawlakhe</t>
  </si>
  <si>
    <t>Kayah</t>
  </si>
  <si>
    <t>NPO</t>
  </si>
  <si>
    <t>Mandalay (Hilton)</t>
  </si>
  <si>
    <t>day &gt;10 hrs travel (Non-HC)</t>
  </si>
  <si>
    <t>Bhamo</t>
  </si>
  <si>
    <t>Kachin</t>
  </si>
  <si>
    <t>PLN</t>
  </si>
  <si>
    <t>Mandalay (Shwe Pyi Thar)</t>
  </si>
  <si>
    <t>overnight - inbound (50% origin)</t>
  </si>
  <si>
    <t>Bilin</t>
  </si>
  <si>
    <t>Mon</t>
  </si>
  <si>
    <t>RMNCAH</t>
  </si>
  <si>
    <t>Maw-La-Myine (Strand)</t>
  </si>
  <si>
    <t>overnight - outbound (50% destination)</t>
  </si>
  <si>
    <t>Bogale</t>
  </si>
  <si>
    <t>Ayeyarwady</t>
  </si>
  <si>
    <t>TB</t>
  </si>
  <si>
    <t>Monywa (Jade Royal)</t>
  </si>
  <si>
    <t>Bokpyin</t>
  </si>
  <si>
    <t>Taninthayi</t>
  </si>
  <si>
    <t>WRO</t>
  </si>
  <si>
    <t>Mrauk Oo</t>
  </si>
  <si>
    <t>Botahtaung</t>
  </si>
  <si>
    <t>Mrauk Oo (Mrauk U Prince)</t>
  </si>
  <si>
    <t>Budalin</t>
  </si>
  <si>
    <t>Myeik</t>
  </si>
  <si>
    <t>Buthidaung</t>
  </si>
  <si>
    <t>Chanayethazan</t>
  </si>
  <si>
    <t>Naypyitaw(Hilton,Kempinski,Parkryl)</t>
  </si>
  <si>
    <t>Chanmyathazi</t>
  </si>
  <si>
    <t>Ngwe Saung Beach</t>
  </si>
  <si>
    <t>Chauk</t>
  </si>
  <si>
    <t>Ngwe Saung Beach (Aureum)</t>
  </si>
  <si>
    <t>Chaung-U</t>
  </si>
  <si>
    <t>Nyaungoo (Tharabar,Aye Yar Rivervw)</t>
  </si>
  <si>
    <t>Chaungzon</t>
  </si>
  <si>
    <t>Nyaungoo-Bagan</t>
  </si>
  <si>
    <t>Chipwi</t>
  </si>
  <si>
    <t>Nyaungoo-Bagan (Aureum Palace)</t>
  </si>
  <si>
    <t>Cocokyun</t>
  </si>
  <si>
    <t>Pathein</t>
  </si>
  <si>
    <t>Dagon</t>
  </si>
  <si>
    <t>Putao (International Staff)</t>
  </si>
  <si>
    <t>Dagon-seikkan</t>
  </si>
  <si>
    <t>Putao (Local Staff)</t>
  </si>
  <si>
    <t>Daik_U</t>
  </si>
  <si>
    <t>Pyinoolwin</t>
  </si>
  <si>
    <t>Dala</t>
  </si>
  <si>
    <t>Sittwe (Royal Sittwe)</t>
  </si>
  <si>
    <t>Danubyu</t>
  </si>
  <si>
    <t>Taungyi</t>
  </si>
  <si>
    <t>Dawbon</t>
  </si>
  <si>
    <t>Thandwe / Ngapali Beach</t>
  </si>
  <si>
    <t>Dedaye</t>
  </si>
  <si>
    <t>Yangon (Pan Pacific)</t>
  </si>
  <si>
    <t>Dekhina Thiri</t>
  </si>
  <si>
    <t>Yangon (Special Hotels)</t>
  </si>
  <si>
    <t>Demoso</t>
  </si>
  <si>
    <t>East-dagon</t>
  </si>
  <si>
    <t>Einme</t>
  </si>
  <si>
    <t>Falam</t>
  </si>
  <si>
    <t>Chin</t>
  </si>
  <si>
    <t>Gangaw</t>
  </si>
  <si>
    <t>Gwa</t>
  </si>
  <si>
    <t>Gyobingauk</t>
  </si>
  <si>
    <t>Hakha</t>
  </si>
  <si>
    <t>Hinthada</t>
  </si>
  <si>
    <t>Hkamti</t>
  </si>
  <si>
    <t>Hlaing</t>
  </si>
  <si>
    <t>Hlaingbwe</t>
  </si>
  <si>
    <t>Kayin</t>
  </si>
  <si>
    <t>Hlaing-thar-ya</t>
  </si>
  <si>
    <t>Hlegu</t>
  </si>
  <si>
    <t>Hmawbi</t>
  </si>
  <si>
    <t>Homalin</t>
  </si>
  <si>
    <t>Hopang</t>
  </si>
  <si>
    <t>Shan North</t>
  </si>
  <si>
    <t>Hopong</t>
  </si>
  <si>
    <t>Shan South</t>
  </si>
  <si>
    <t>Hpa-An</t>
  </si>
  <si>
    <t>Hpakan</t>
  </si>
  <si>
    <t>Hpapun</t>
  </si>
  <si>
    <t>Hpasawng</t>
  </si>
  <si>
    <t>Hpruso</t>
  </si>
  <si>
    <t>Hseni</t>
  </si>
  <si>
    <t>Hsihseng</t>
  </si>
  <si>
    <t>Hsipaw</t>
  </si>
  <si>
    <t>Htantabin</t>
  </si>
  <si>
    <t>Htantlang</t>
  </si>
  <si>
    <t>Indaw</t>
  </si>
  <si>
    <t>Ingapu</t>
  </si>
  <si>
    <t>Injangyang</t>
  </si>
  <si>
    <t>Insein</t>
  </si>
  <si>
    <t>Kalaw</t>
  </si>
  <si>
    <t>Kale</t>
  </si>
  <si>
    <t>Kalewa</t>
  </si>
  <si>
    <t>Kamaryut</t>
  </si>
  <si>
    <t>Kamma</t>
  </si>
  <si>
    <t>Kanbalu</t>
  </si>
  <si>
    <t>Kangyidaunt</t>
  </si>
  <si>
    <t>Kani</t>
  </si>
  <si>
    <t>Kanpalat</t>
  </si>
  <si>
    <t>Katha</t>
  </si>
  <si>
    <t>Kawa</t>
  </si>
  <si>
    <t>Kawhmu</t>
  </si>
  <si>
    <t>Kawkareik</t>
  </si>
  <si>
    <t>Kawlin</t>
  </si>
  <si>
    <t>Kawthoung</t>
  </si>
  <si>
    <t>Kayan</t>
  </si>
  <si>
    <t>Kengtung</t>
  </si>
  <si>
    <t>Shan East</t>
  </si>
  <si>
    <t>Khaunglanphu</t>
  </si>
  <si>
    <t>Khin-U</t>
  </si>
  <si>
    <t>KonKyan</t>
  </si>
  <si>
    <t>Kungyangon</t>
  </si>
  <si>
    <t>Kunhein</t>
  </si>
  <si>
    <t>Kunlong</t>
  </si>
  <si>
    <t>Kutkai</t>
  </si>
  <si>
    <t>Kyaiklat</t>
  </si>
  <si>
    <t>Kyaikmaraw</t>
  </si>
  <si>
    <t>Kyaikto</t>
  </si>
  <si>
    <t>Kyain Seikgyi</t>
  </si>
  <si>
    <t>Kyangin</t>
  </si>
  <si>
    <t>Kyaukkyi</t>
  </si>
  <si>
    <t>Kyaukme</t>
  </si>
  <si>
    <t>Kyaukpadaung</t>
  </si>
  <si>
    <t>Kyaukpyu</t>
  </si>
  <si>
    <t>Kyaukse</t>
  </si>
  <si>
    <t>Kyauktada</t>
  </si>
  <si>
    <t>Kyauktaga</t>
  </si>
  <si>
    <t>Kyauktan</t>
  </si>
  <si>
    <t>Kyauktaw</t>
  </si>
  <si>
    <t>Kyaunggon</t>
  </si>
  <si>
    <t>Kyee-myin-dain</t>
  </si>
  <si>
    <t>Kyethi</t>
  </si>
  <si>
    <t>Kyonpyaw</t>
  </si>
  <si>
    <t>Kyunhla</t>
  </si>
  <si>
    <t>Kyunsu</t>
  </si>
  <si>
    <t>Labutta</t>
  </si>
  <si>
    <t>Lahe</t>
  </si>
  <si>
    <t>Lanmadaw</t>
  </si>
  <si>
    <t>Lashio</t>
  </si>
  <si>
    <t>Latha</t>
  </si>
  <si>
    <t>Laukkaing</t>
  </si>
  <si>
    <t>Launglon</t>
  </si>
  <si>
    <t>Lawksawk</t>
  </si>
  <si>
    <t>Lay Shi</t>
  </si>
  <si>
    <t>Lecha</t>
  </si>
  <si>
    <t>Lemyethna</t>
  </si>
  <si>
    <t>Letpadan</t>
  </si>
  <si>
    <t>Lewe</t>
  </si>
  <si>
    <t>Lingkho</t>
  </si>
  <si>
    <t>Loilin</t>
  </si>
  <si>
    <t>Ma Bein</t>
  </si>
  <si>
    <t>Machanbaw</t>
  </si>
  <si>
    <t>Madaya</t>
  </si>
  <si>
    <t>Madupi</t>
  </si>
  <si>
    <t>Mahaaungmyay</t>
  </si>
  <si>
    <t>Mahlaing</t>
  </si>
  <si>
    <t>Mangyan</t>
  </si>
  <si>
    <t>Manphant</t>
  </si>
  <si>
    <t>Mansi</t>
  </si>
  <si>
    <t>Manton</t>
  </si>
  <si>
    <t>Matman</t>
  </si>
  <si>
    <t>Maubin</t>
  </si>
  <si>
    <t>Mauk mai</t>
  </si>
  <si>
    <t>Maungdaw</t>
  </si>
  <si>
    <t>Mawlaik</t>
  </si>
  <si>
    <t>Mawlamyine</t>
  </si>
  <si>
    <t>Mawlamyinegyun</t>
  </si>
  <si>
    <t>Mayangone</t>
  </si>
  <si>
    <t>Meiktila</t>
  </si>
  <si>
    <t>Mese</t>
  </si>
  <si>
    <t>Minbu</t>
  </si>
  <si>
    <t>Minbya</t>
  </si>
  <si>
    <t>Mindat</t>
  </si>
  <si>
    <t>Mindon</t>
  </si>
  <si>
    <t>Mingaladon</t>
  </si>
  <si>
    <t>Mingalar-taung-nyunt</t>
  </si>
  <si>
    <t>Mingin</t>
  </si>
  <si>
    <t>Minhla</t>
  </si>
  <si>
    <t>MoeNyo</t>
  </si>
  <si>
    <t>Mogaung</t>
  </si>
  <si>
    <t>Mogoke</t>
  </si>
  <si>
    <t>Mohnyin</t>
  </si>
  <si>
    <t>Momauk</t>
  </si>
  <si>
    <t>Mong Kaung</t>
  </si>
  <si>
    <t>Monghsat</t>
  </si>
  <si>
    <t>Monghsu</t>
  </si>
  <si>
    <t>Mongkhet</t>
  </si>
  <si>
    <t>Mongmaw</t>
  </si>
  <si>
    <t>Mongmit</t>
  </si>
  <si>
    <t>Mongnai</t>
  </si>
  <si>
    <t>Mongpan</t>
  </si>
  <si>
    <t>Mongpyak</t>
  </si>
  <si>
    <t>Mongpyin</t>
  </si>
  <si>
    <t>Mongton</t>
  </si>
  <si>
    <t>Mongyai</t>
  </si>
  <si>
    <t>Mongywang</t>
  </si>
  <si>
    <t>Monywa</t>
  </si>
  <si>
    <t>Mrauk-U</t>
  </si>
  <si>
    <t>Mudon</t>
  </si>
  <si>
    <t>Munaung</t>
  </si>
  <si>
    <t>Muse</t>
  </si>
  <si>
    <t>Myaing</t>
  </si>
  <si>
    <t>Myanaung</t>
  </si>
  <si>
    <t>Myaung</t>
  </si>
  <si>
    <t>Myaungmya</t>
  </si>
  <si>
    <t>Myawady</t>
  </si>
  <si>
    <t>Myebon</t>
  </si>
  <si>
    <t>Myingyan</t>
  </si>
  <si>
    <t>Myinmu</t>
  </si>
  <si>
    <t>Myitkyina</t>
  </si>
  <si>
    <t>Myittha</t>
  </si>
  <si>
    <t>Myothit</t>
  </si>
  <si>
    <t>Nahpant</t>
  </si>
  <si>
    <t>Namhsan</t>
  </si>
  <si>
    <t>Namsang</t>
  </si>
  <si>
    <t>Namtu</t>
  </si>
  <si>
    <t>Nan Kham</t>
  </si>
  <si>
    <t>Nanyun</t>
  </si>
  <si>
    <t>Natmauk</t>
  </si>
  <si>
    <t>Natogyi</t>
  </si>
  <si>
    <t>Nattalin</t>
  </si>
  <si>
    <t>Naung Khio</t>
  </si>
  <si>
    <t>Nawngmun</t>
  </si>
  <si>
    <t>Ngape</t>
  </si>
  <si>
    <t>Ngapudaw</t>
  </si>
  <si>
    <t>Ngazun</t>
  </si>
  <si>
    <t>North-dagon</t>
  </si>
  <si>
    <t>North-okkalapa</t>
  </si>
  <si>
    <t>Nyaung Lay Pin</t>
  </si>
  <si>
    <t>Nyaung_U</t>
  </si>
  <si>
    <t>Nyaungdon</t>
  </si>
  <si>
    <t>Nyaungshwe</t>
  </si>
  <si>
    <t>Oaktaya Thiri</t>
  </si>
  <si>
    <t>Okpho</t>
  </si>
  <si>
    <t>Oktwin</t>
  </si>
  <si>
    <t>Pabedan</t>
  </si>
  <si>
    <t>Padaung</t>
  </si>
  <si>
    <t>Pakokku</t>
  </si>
  <si>
    <t>Palaw</t>
  </si>
  <si>
    <t>Pale</t>
  </si>
  <si>
    <t>Paletwa</t>
  </si>
  <si>
    <t>Pangyang</t>
  </si>
  <si>
    <t>Pantanaw</t>
  </si>
  <si>
    <t>Panwaing</t>
  </si>
  <si>
    <t>Patheingyi</t>
  </si>
  <si>
    <t>Pauk</t>
  </si>
  <si>
    <t>Paukkhaung</t>
  </si>
  <si>
    <t>Pauktaw</t>
  </si>
  <si>
    <t>Paung</t>
  </si>
  <si>
    <t>Paungbyin</t>
  </si>
  <si>
    <t>Paungde</t>
  </si>
  <si>
    <t>Pazundaung</t>
  </si>
  <si>
    <t>Phekon</t>
  </si>
  <si>
    <t>Phyu</t>
  </si>
  <si>
    <t>Pindaya</t>
  </si>
  <si>
    <t>Pinglong</t>
  </si>
  <si>
    <t>Pinlebu</t>
  </si>
  <si>
    <t>Pobba Thiri</t>
  </si>
  <si>
    <t>Ponnagyun</t>
  </si>
  <si>
    <t>Puta-O</t>
  </si>
  <si>
    <t>Pwintbyu</t>
  </si>
  <si>
    <t>Pyapon</t>
  </si>
  <si>
    <t>Pyawbwe</t>
  </si>
  <si>
    <t>Pyay</t>
  </si>
  <si>
    <t>Pyigyitagon</t>
  </si>
  <si>
    <t>Pyinmana</t>
  </si>
  <si>
    <t>Ramree</t>
  </si>
  <si>
    <t>Rathedaung</t>
  </si>
  <si>
    <t>Salin</t>
  </si>
  <si>
    <t>Salingyi</t>
  </si>
  <si>
    <t>Sanchaung</t>
  </si>
  <si>
    <t>Saw</t>
  </si>
  <si>
    <t>Seikgyikhanaun</t>
  </si>
  <si>
    <t>Seikkan</t>
  </si>
  <si>
    <t>Seikphyu</t>
  </si>
  <si>
    <t>Shadaw</t>
  </si>
  <si>
    <t>Shwebo</t>
  </si>
  <si>
    <t>Shwedaung</t>
  </si>
  <si>
    <t>Shwegu</t>
  </si>
  <si>
    <t>Shwegyin</t>
  </si>
  <si>
    <t>Shwe-pyi-thar</t>
  </si>
  <si>
    <t>Sidoktaya</t>
  </si>
  <si>
    <t>Sinbaungwe</t>
  </si>
  <si>
    <t>Singu</t>
  </si>
  <si>
    <t>Sintgaing</t>
  </si>
  <si>
    <t>Sittwe</t>
  </si>
  <si>
    <t>South-dagon</t>
  </si>
  <si>
    <t>South-okkalapa</t>
  </si>
  <si>
    <t>Sumprabum</t>
  </si>
  <si>
    <t>Tabayin</t>
  </si>
  <si>
    <t>Tachileik</t>
  </si>
  <si>
    <t>Tada_U</t>
  </si>
  <si>
    <t>Taikkyi</t>
  </si>
  <si>
    <t>Tamu</t>
  </si>
  <si>
    <t>Tanai</t>
  </si>
  <si>
    <t>Tangyan</t>
  </si>
  <si>
    <t>Tantabin</t>
  </si>
  <si>
    <t>Tarmwe</t>
  </si>
  <si>
    <t>Tatkon</t>
  </si>
  <si>
    <t>Taungdwingyi</t>
  </si>
  <si>
    <t>Taunggyi</t>
  </si>
  <si>
    <t>Taungoo</t>
  </si>
  <si>
    <t>Taungtha</t>
  </si>
  <si>
    <t>Taze</t>
  </si>
  <si>
    <t>Thabaung</t>
  </si>
  <si>
    <t>Thabeikkyin</t>
  </si>
  <si>
    <t>Thaketa</t>
  </si>
  <si>
    <t>Thanatpin</t>
  </si>
  <si>
    <t>Thanbyuzayat</t>
  </si>
  <si>
    <t>Thandaung</t>
  </si>
  <si>
    <t>Thandwe</t>
  </si>
  <si>
    <t>Thanlyin</t>
  </si>
  <si>
    <t>Thaton</t>
  </si>
  <si>
    <t>Thayarwady</t>
  </si>
  <si>
    <t>Thayet</t>
  </si>
  <si>
    <t>Thayetchaung</t>
  </si>
  <si>
    <t>Thazi</t>
  </si>
  <si>
    <t>Thegon</t>
  </si>
  <si>
    <t>Thingangyun</t>
  </si>
  <si>
    <t>Thongwa</t>
  </si>
  <si>
    <t>Tiddim</t>
  </si>
  <si>
    <t>Tigyaing</t>
  </si>
  <si>
    <t>Tilin</t>
  </si>
  <si>
    <t>Tonzang</t>
  </si>
  <si>
    <t>Toungup</t>
  </si>
  <si>
    <t>Tsawlaw</t>
  </si>
  <si>
    <t>Twantay</t>
  </si>
  <si>
    <t>Waingmaw</t>
  </si>
  <si>
    <t>Wakema</t>
  </si>
  <si>
    <t>Waw</t>
  </si>
  <si>
    <t>Wetlet</t>
  </si>
  <si>
    <t>Wundwin</t>
  </si>
  <si>
    <t>Wuntho</t>
  </si>
  <si>
    <t>Yamethin</t>
  </si>
  <si>
    <t>Yankin</t>
  </si>
  <si>
    <t>Ye</t>
  </si>
  <si>
    <t>Yebyu</t>
  </si>
  <si>
    <t>Yedashe</t>
  </si>
  <si>
    <t>Yegyi</t>
  </si>
  <si>
    <t>Yenangyaung</t>
  </si>
  <si>
    <t>Yesagyo</t>
  </si>
  <si>
    <t>Ye-U</t>
  </si>
  <si>
    <t>Yinmabin</t>
  </si>
  <si>
    <t>Ywangan</t>
  </si>
  <si>
    <t>Zalun</t>
  </si>
  <si>
    <t>Zebu Thiri</t>
  </si>
  <si>
    <t>Zeya Thiri</t>
  </si>
  <si>
    <t>Zigon</t>
  </si>
  <si>
    <t>Bagan</t>
  </si>
  <si>
    <t>Bhamaw</t>
  </si>
  <si>
    <t>Chaung Thar Beach</t>
  </si>
  <si>
    <t>Haka</t>
  </si>
  <si>
    <t>Hpa-an</t>
  </si>
  <si>
    <t>Inlay</t>
  </si>
  <si>
    <t>Kawtthaung</t>
  </si>
  <si>
    <t>Kyaik Hto</t>
  </si>
  <si>
    <t>Kyaing Ton</t>
  </si>
  <si>
    <t>Kyaunkme</t>
  </si>
  <si>
    <t>Magwe</t>
  </si>
  <si>
    <t>Mawlamyaing</t>
  </si>
  <si>
    <t>Meikhtila</t>
  </si>
  <si>
    <t>Myawaddy</t>
  </si>
  <si>
    <t>Myitkyeena</t>
  </si>
  <si>
    <t>Nay Pyi Taw</t>
  </si>
  <si>
    <t>NgapaIi Beach</t>
  </si>
  <si>
    <t>Ngwe Sung Beach</t>
  </si>
  <si>
    <t>Nyaung Shwe</t>
  </si>
  <si>
    <t>Nyaw U</t>
  </si>
  <si>
    <t>Pang Kham</t>
  </si>
  <si>
    <t>Phurkant</t>
  </si>
  <si>
    <t>Pinlaung</t>
  </si>
  <si>
    <t>Pokhoku</t>
  </si>
  <si>
    <t>Putao</t>
  </si>
  <si>
    <t>Tachilek</t>
  </si>
  <si>
    <t>Thibaw</t>
  </si>
  <si>
    <t>Townships &amp; Villages (Border)</t>
  </si>
  <si>
    <t>TRAVEL REQUEST (MYANMAR PAYROLL AND OUTSOURCING CO.,LTD)</t>
  </si>
  <si>
    <t>Ms. (Name)</t>
  </si>
  <si>
    <t>Position (Duty Station)</t>
  </si>
  <si>
    <t>HR company (P&amp;O)</t>
  </si>
  <si>
    <t>Ms. (Name), Position (Duty Station), Unit</t>
  </si>
  <si>
    <t>Unit</t>
  </si>
  <si>
    <t>Please enter the name of the appropriate approver.</t>
  </si>
  <si>
    <t>16 May 2026</t>
  </si>
  <si>
    <t>From (Area)/To (Area)</t>
  </si>
  <si>
    <t>Mode of travel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</si>
</sst>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[$-409]mmm\-yy;@"/>
    <numFmt numFmtId="165" formatCode="[$-409]dd\-mmm\-yy;@"/>
    <numFmt numFmtId="166" formatCode="_(* #,##0_);_(* \(#,##0\);_(* &quot;-&quot;??_);_(@_)"/>
    <numFmt numFmtId="167" formatCode="[$-F800]dddd\,\ mmmm\ dd\,\ yyyy"/>
    <numFmt numFmtId="168" formatCode="0.0"/>
    <numFmt numFmtId="169" formatCode="0%;\-0%;0%"/>
  </numFmts>
  <fonts count="13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008000"/>
      <name val="Calibri"/>
      <family val="2"/>
    </font>
    <font>
      <b/>
      <sz val="11"/>
      <color rgb="FFFF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Protection="1">
      <protection locked="0"/>
    </xf>
    <xf numFmtId="0" fontId="2" fillId="0" borderId="0" xfId="0" applyFont="1" applyAlignment="1" applyProtection="1">
      <alignment vertical="center"/>
      <protection locked="0"/>
    </xf>
    <xf numFmtId="164" fontId="2" fillId="0" borderId="0" xfId="0" applyNumberFormat="1" applyFont="1" applyAlignment="1" applyProtection="1">
      <alignment vertical="center"/>
      <protection locked="0"/>
    </xf>
    <xf numFmtId="0" fontId="2" fillId="0" borderId="2" xfId="0" applyFont="1" applyBorder="1" applyAlignment="1" applyProtection="1">
      <alignment horizontal="center" vertical="top" wrapText="1"/>
      <protection locked="0"/>
    </xf>
    <xf numFmtId="0" fontId="2" fillId="0" borderId="3" xfId="0" applyFont="1" applyBorder="1" applyAlignment="1" applyProtection="1">
      <alignment horizontal="center" vertical="top" wrapText="1"/>
      <protection locked="0"/>
    </xf>
    <xf numFmtId="0" fontId="2" fillId="0" borderId="4" xfId="0" applyFont="1" applyBorder="1" applyAlignment="1" applyProtection="1">
      <alignment horizontal="center" vertical="top" wrapText="1"/>
      <protection locked="0"/>
    </xf>
    <xf numFmtId="0" fontId="0" fillId="5" borderId="5" xfId="0" applyFill="1" applyBorder="1" applyAlignment="1" applyProtection="1">
      <alignment horizontal="center" vertical="center" wrapText="1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0" fillId="4" borderId="1" xfId="0" applyFill="1" applyBorder="1" applyAlignment="1" applyProtection="1">
      <alignment horizontal="center" vertical="center" wrapText="1"/>
      <protection locked="0"/>
    </xf>
    <xf numFmtId="0" fontId="0" fillId="4" borderId="6" xfId="0" applyFill="1" applyBorder="1" applyAlignment="1" applyProtection="1">
      <alignment horizontal="center" vertical="center" wrapText="1"/>
      <protection locked="0"/>
    </xf>
    <xf numFmtId="0" fontId="0" fillId="2" borderId="5" xfId="0" applyFill="1" applyBorder="1" applyAlignment="1" applyProtection="1">
      <alignment vertical="center"/>
      <protection locked="0"/>
    </xf>
    <xf numFmtId="0" fontId="0" fillId="2" borderId="1" xfId="0" applyFill="1" applyBorder="1" applyAlignment="1" applyProtection="1">
      <alignment vertical="center"/>
      <protection locked="0"/>
    </xf>
    <xf numFmtId="0" fontId="0" fillId="2" borderId="6" xfId="0" applyFill="1" applyBorder="1" applyAlignment="1" applyProtection="1">
      <alignment vertical="center"/>
      <protection locked="0"/>
    </xf>
    <xf numFmtId="0" fontId="2" fillId="3" borderId="7" xfId="0" applyFont="1" applyFill="1" applyBorder="1" applyAlignment="1" applyProtection="1">
      <alignment vertical="center"/>
      <protection locked="0"/>
    </xf>
    <xf numFmtId="0" fontId="2" fillId="3" borderId="8" xfId="0" applyFont="1" applyFill="1" applyBorder="1" applyAlignment="1" applyProtection="1">
      <alignment vertical="center"/>
      <protection locked="0"/>
    </xf>
    <xf numFmtId="0" fontId="0" fillId="4" borderId="1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6" borderId="1" xfId="0" applyFill="1" applyBorder="1" applyProtection="1">
      <protection locked="0"/>
    </xf>
    <xf numFmtId="0" fontId="0" fillId="0" borderId="0" xfId="0" applyAlignment="1" applyProtection="1">
      <alignment vertical="top"/>
      <protection locked="0"/>
    </xf>
    <xf numFmtId="165" fontId="0" fillId="4" borderId="1" xfId="0" applyNumberFormat="1" applyFill="1" applyBorder="1" applyAlignment="1" applyProtection="1">
      <alignment horizontal="center" vertical="center" wrapText="1"/>
      <protection locked="0"/>
    </xf>
    <xf numFmtId="0" fontId="0" fillId="6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3" fillId="5" borderId="1" xfId="0" applyFont="1" applyFill="1" applyBorder="1" applyAlignment="1" applyProtection="1">
      <alignment horizontal="left" vertical="center" wrapText="1"/>
      <protection locked="0"/>
    </xf>
    <xf numFmtId="166" fontId="0" fillId="6" borderId="1" xfId="1" applyNumberFormat="1" applyFont="1" applyFill="1" applyBorder="1" applyAlignment="1" applyProtection="1">
      <alignment horizontal="right" vertical="center" wrapText="1"/>
    </xf>
    <xf numFmtId="166" fontId="0" fillId="4" borderId="1" xfId="1" applyNumberFormat="1" applyFont="1" applyFill="1" applyBorder="1" applyAlignment="1" applyProtection="1">
      <alignment horizontal="right" vertical="center" wrapText="1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2" fillId="3" borderId="7" xfId="0" quotePrefix="1" applyFont="1" applyFill="1" applyBorder="1" applyAlignment="1">
      <alignment horizontal="center" vertical="center"/>
    </xf>
    <xf numFmtId="0" fontId="0" fillId="2" borderId="1" xfId="0" applyFill="1" applyBorder="1" applyAlignment="1" applyProtection="1">
      <alignment vertical="center" wrapText="1"/>
      <protection locked="0"/>
    </xf>
    <xf numFmtId="0" fontId="7" fillId="0" borderId="0" xfId="0" applyFont="1" applyAlignment="1" applyProtection="1">
      <alignment vertical="center"/>
      <protection locked="0"/>
    </xf>
    <xf numFmtId="0" fontId="0" fillId="0" borderId="15" xfId="0" applyBorder="1" applyProtection="1">
      <protection locked="0"/>
    </xf>
    <xf numFmtId="0" fontId="2" fillId="0" borderId="0" xfId="0" applyFont="1" applyProtection="1">
      <protection locked="0"/>
    </xf>
    <xf numFmtId="3" fontId="0" fillId="6" borderId="1" xfId="1" applyNumberFormat="1" applyFont="1" applyFill="1" applyBorder="1" applyAlignment="1" applyProtection="1">
      <alignment horizontal="right" vertical="center" wrapText="1"/>
    </xf>
    <xf numFmtId="0" fontId="2" fillId="3" borderId="7" xfId="0" applyFont="1" applyFill="1" applyBorder="1" applyAlignment="1">
      <alignment horizontal="right" vertical="center"/>
    </xf>
    <xf numFmtId="166" fontId="0" fillId="2" borderId="1" xfId="1" applyNumberFormat="1" applyFont="1" applyFill="1" applyBorder="1" applyAlignment="1">
      <alignment horizontal="right" vertical="center"/>
    </xf>
    <xf numFmtId="166" fontId="0" fillId="2" borderId="1" xfId="1" applyNumberFormat="1" applyFont="1" applyFill="1" applyBorder="1" applyAlignment="1">
      <alignment horizontal="center" vertical="center"/>
    </xf>
    <xf numFmtId="166" fontId="2" fillId="3" borderId="7" xfId="1" applyNumberFormat="1" applyFont="1" applyFill="1" applyBorder="1" applyAlignment="1">
      <alignment horizontal="right" vertical="center"/>
    </xf>
    <xf numFmtId="166" fontId="2" fillId="3" borderId="7" xfId="1" applyNumberFormat="1" applyFont="1" applyFill="1" applyBorder="1" applyAlignment="1" applyProtection="1">
      <alignment horizontal="center" vertical="center"/>
      <protection locked="0"/>
    </xf>
    <xf numFmtId="9" fontId="0" fillId="0" borderId="0" xfId="2" applyFont="1"/>
    <xf numFmtId="168" fontId="0" fillId="0" borderId="0" xfId="0" applyNumberFormat="1"/>
    <xf numFmtId="9" fontId="0" fillId="0" borderId="0" xfId="0" applyNumberFormat="1"/>
    <xf numFmtId="1" fontId="0" fillId="0" borderId="0" xfId="0" applyNumberFormat="1"/>
    <xf numFmtId="169" fontId="0" fillId="2" borderId="0" xfId="0" applyNumberFormat="1" applyFill="1"/>
    <xf numFmtId="1" fontId="2" fillId="3" borderId="7" xfId="0" applyNumberFormat="1" applyFont="1" applyFill="1" applyBorder="1" applyAlignment="1">
      <alignment horizontal="right" vertical="center"/>
    </xf>
    <xf numFmtId="0" fontId="0" fillId="0" borderId="0" xfId="0" quotePrefix="1"/>
    <xf numFmtId="0" fontId="11" fillId="0" borderId="0" xfId="0" applyFont="1" applyProtection="1">
      <protection locked="0"/>
    </xf>
    <xf numFmtId="15" fontId="11" fillId="0" borderId="0" xfId="0" applyNumberFormat="1" applyFont="1" applyAlignment="1" applyProtection="1">
      <alignment vertical="top"/>
      <protection locked="0"/>
    </xf>
    <xf numFmtId="15" fontId="11" fillId="0" borderId="0" xfId="0" applyNumberFormat="1" applyFont="1" applyAlignment="1" applyProtection="1">
      <alignment horizontal="left" vertical="top"/>
      <protection locked="0"/>
    </xf>
    <xf numFmtId="17" fontId="2" fillId="0" borderId="0" xfId="0" applyNumberFormat="1" applyFont="1" applyAlignment="1" applyProtection="1">
      <alignment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7" fontId="12" fillId="0" borderId="17" xfId="0" quotePrefix="1" applyNumberFormat="1" applyFont="1" applyBorder="1" applyAlignment="1" applyProtection="1">
      <alignment horizontal="center" vertical="center"/>
      <protection locked="0"/>
    </xf>
    <xf numFmtId="0" fontId="6" fillId="3" borderId="12" xfId="0" applyFont="1" applyFill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 applyProtection="1">
      <alignment horizontal="center" vertical="center"/>
      <protection locked="0"/>
    </xf>
    <xf numFmtId="0" fontId="6" fillId="3" borderId="14" xfId="0" applyFont="1" applyFill="1" applyBorder="1" applyAlignment="1" applyProtection="1">
      <alignment horizontal="center" vertical="center"/>
      <protection locked="0"/>
    </xf>
    <xf numFmtId="0" fontId="0" fillId="4" borderId="16" xfId="0" applyFill="1" applyBorder="1" applyAlignment="1" applyProtection="1">
      <alignment horizontal="center" vertical="center" wrapText="1"/>
      <protection locked="0"/>
    </xf>
    <xf numFmtId="0" fontId="0" fillId="2" borderId="9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0" fillId="3" borderId="0" xfId="0" applyFill="1"/>
    <xf numFmtId="0" fontId="0" fillId="0" borderId="0" xfId="0" applyFill="1"/>
    <xf numFmtId="0" fontId="0" fillId="3" borderId="0" xfId="0" applyFont="1" applyFill="1"/>
  </cellXfs>
  <cellStyles count="3">
    <cellStyle name="Comma" xfId="1" builtinId="3"/>
    <cellStyle name="Normal" xfId="0" builtinId="0"/>
    <cellStyle name="Per cent" xfId="2" builtinId="5"/>
  </cellStyles>
  <dxfs count="5">
    <dxf>
      <fill>
        <patternFill patternType="solid">
          <fgColor indexed="64"/>
          <bgColor rgb="FFFFC000"/>
        </patternFill>
      </fill>
    </dxf>
    <dxf>
      <numFmt numFmtId="169" formatCode="0%;\-0%;0%"/>
      <fill>
        <patternFill patternType="solid">
          <fgColor indexed="64"/>
          <bgColor rgb="FFFFFF00"/>
        </patternFill>
      </fill>
    </dxf>
    <dxf>
      <numFmt numFmtId="168" formatCode="0.0"/>
    </dxf>
    <dxf>
      <numFmt numFmtId="1" formatCode="0"/>
    </dxf>
    <dxf>
      <numFmt numFmtId="0" formatCode="General"/>
    </dxf>
  </dxfs>
  <tableStyles count="2" defaultTableStyle="TableStyleMedium2" defaultPivotStyle="PivotStyleLight16">
    <tableStyle name="decuctionsTable" pivot="0" count="0" xr9:uid="{69E120E7-4930-4188-BAB2-616BEFA5E743}"/>
    <tableStyle name="deductions" pivot="0" count="0" xr9:uid="{BADD0F99-4F46-4B3C-B55B-5A378EF9BE2D}"/>
  </tableStyles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</xdr:colOff>
          <xdr:row>1</xdr:row>
          <xdr:rowOff>374650</xdr:rowOff>
        </xdr:from>
        <xdr:to>
          <xdr:col>1</xdr:col>
          <xdr:colOff>831850</xdr:colOff>
          <xdr:row>2</xdr:row>
          <xdr:rowOff>241300</xdr:rowOff>
        </xdr:to>
        <xdr:sp macro="" textlink="">
          <xdr:nvSpPr>
            <xdr:cNvPr id="65178" name="AddButton" hidden="1">
              <a:extLst>
                <a:ext uri="{63B3BB69-23CF-44E3-9099-C40C66FF867C}">
                  <a14:compatExt spid="_x0000_s65178"/>
                </a:ext>
                <a:ext uri="{FF2B5EF4-FFF2-40B4-BE49-F238E27FC236}">
                  <a16:creationId xmlns:a16="http://schemas.microsoft.com/office/drawing/2014/main" id="{00000000-0008-0000-0000-00009AF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857250</xdr:colOff>
          <xdr:row>1</xdr:row>
          <xdr:rowOff>374650</xdr:rowOff>
        </xdr:from>
        <xdr:to>
          <xdr:col>2</xdr:col>
          <xdr:colOff>469900</xdr:colOff>
          <xdr:row>2</xdr:row>
          <xdr:rowOff>241300</xdr:rowOff>
        </xdr:to>
        <xdr:sp macro="" textlink="">
          <xdr:nvSpPr>
            <xdr:cNvPr id="65179" name="DeleteButton" hidden="1">
              <a:extLst>
                <a:ext uri="{63B3BB69-23CF-44E3-9099-C40C66FF867C}">
                  <a14:compatExt spid="_x0000_s65179"/>
                </a:ext>
                <a:ext uri="{FF2B5EF4-FFF2-40B4-BE49-F238E27FC236}">
                  <a16:creationId xmlns:a16="http://schemas.microsoft.com/office/drawing/2014/main" id="{00000000-0008-0000-0000-00009BF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19050</xdr:colOff>
          <xdr:row>20</xdr:row>
          <xdr:rowOff>19050</xdr:rowOff>
        </xdr:to>
        <xdr:sp macro="" textlink="">
          <xdr:nvSpPr>
            <xdr:cNvPr id="75829" name="ComboBox1" hidden="1">
              <a:extLst>
                <a:ext uri="{63B3BB69-23CF-44E3-9099-C40C66FF867C}">
                  <a14:compatExt spid="_x0000_s75829"/>
                </a:ext>
                <a:ext uri="{FF2B5EF4-FFF2-40B4-BE49-F238E27FC236}">
                  <a16:creationId xmlns:a16="http://schemas.microsoft.com/office/drawing/2014/main" id="{00000000-0008-0000-0100-00003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508000</xdr:colOff>
          <xdr:row>4</xdr:row>
          <xdr:rowOff>127000</xdr:rowOff>
        </xdr:from>
        <xdr:to>
          <xdr:col>2</xdr:col>
          <xdr:colOff>50800</xdr:colOff>
          <xdr:row>6</xdr:row>
          <xdr:rowOff>19050</xdr:rowOff>
        </xdr:to>
        <xdr:sp macro="" textlink="">
          <xdr:nvSpPr>
            <xdr:cNvPr id="75830" name="AddButton" hidden="1">
              <a:extLst>
                <a:ext uri="{63B3BB69-23CF-44E3-9099-C40C66FF867C}">
                  <a14:compatExt spid="_x0000_s75830"/>
                </a:ext>
                <a:ext uri="{FF2B5EF4-FFF2-40B4-BE49-F238E27FC236}">
                  <a16:creationId xmlns:a16="http://schemas.microsoft.com/office/drawing/2014/main" id="{00000000-0008-0000-0100-00003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4</xdr:row>
          <xdr:rowOff>127000</xdr:rowOff>
        </xdr:from>
        <xdr:to>
          <xdr:col>3</xdr:col>
          <xdr:colOff>228600</xdr:colOff>
          <xdr:row>6</xdr:row>
          <xdr:rowOff>19050</xdr:rowOff>
        </xdr:to>
        <xdr:sp macro="" textlink="">
          <xdr:nvSpPr>
            <xdr:cNvPr id="75831" name="DeleteButton" hidden="1">
              <a:extLst>
                <a:ext uri="{63B3BB69-23CF-44E3-9099-C40C66FF867C}">
                  <a14:compatExt spid="_x0000_s75831"/>
                </a:ext>
                <a:ext uri="{FF2B5EF4-FFF2-40B4-BE49-F238E27FC236}">
                  <a16:creationId xmlns:a16="http://schemas.microsoft.com/office/drawing/2014/main" id="{00000000-0008-0000-0100-00003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508000</xdr:colOff>
          <xdr:row>4</xdr:row>
          <xdr:rowOff>12700</xdr:rowOff>
        </xdr:from>
        <xdr:to>
          <xdr:col>1</xdr:col>
          <xdr:colOff>203200</xdr:colOff>
          <xdr:row>5</xdr:row>
          <xdr:rowOff>12700</xdr:rowOff>
        </xdr:to>
        <xdr:sp macro="" textlink="">
          <xdr:nvSpPr>
            <xdr:cNvPr id="69270" name="AddButton" hidden="1">
              <a:extLst>
                <a:ext uri="{63B3BB69-23CF-44E3-9099-C40C66FF867C}">
                  <a14:compatExt spid="_x0000_s69270"/>
                </a:ext>
                <a:ext uri="{FF2B5EF4-FFF2-40B4-BE49-F238E27FC236}">
                  <a16:creationId xmlns:a16="http://schemas.microsoft.com/office/drawing/2014/main" id="{00000000-0008-0000-0200-0000960E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12700</xdr:rowOff>
        </xdr:from>
        <xdr:to>
          <xdr:col>1</xdr:col>
          <xdr:colOff>990600</xdr:colOff>
          <xdr:row>5</xdr:row>
          <xdr:rowOff>12700</xdr:rowOff>
        </xdr:to>
        <xdr:sp macro="" textlink="">
          <xdr:nvSpPr>
            <xdr:cNvPr id="69271" name="DeleteButton" hidden="1">
              <a:extLst>
                <a:ext uri="{63B3BB69-23CF-44E3-9099-C40C66FF867C}">
                  <a14:compatExt spid="_x0000_s69271"/>
                </a:ext>
                <a:ext uri="{FF2B5EF4-FFF2-40B4-BE49-F238E27FC236}">
                  <a16:creationId xmlns:a16="http://schemas.microsoft.com/office/drawing/2014/main" id="{00000000-0008-0000-0200-0000970E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19050</xdr:colOff>
          <xdr:row>20</xdr:row>
          <xdr:rowOff>19050</xdr:rowOff>
        </xdr:to>
        <xdr:sp macro="" textlink="">
          <xdr:nvSpPr>
            <xdr:cNvPr id="70716" name="ComboBox1" hidden="1">
              <a:extLst>
                <a:ext uri="{63B3BB69-23CF-44E3-9099-C40C66FF867C}">
                  <a14:compatExt spid="_x0000_s70716"/>
                </a:ext>
                <a:ext uri="{FF2B5EF4-FFF2-40B4-BE49-F238E27FC236}">
                  <a16:creationId xmlns:a16="http://schemas.microsoft.com/office/drawing/2014/main" id="{00000000-0008-0000-0300-00003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508000</xdr:colOff>
          <xdr:row>4</xdr:row>
          <xdr:rowOff>127000</xdr:rowOff>
        </xdr:from>
        <xdr:to>
          <xdr:col>2</xdr:col>
          <xdr:colOff>50800</xdr:colOff>
          <xdr:row>6</xdr:row>
          <xdr:rowOff>19050</xdr:rowOff>
        </xdr:to>
        <xdr:sp macro="" textlink="">
          <xdr:nvSpPr>
            <xdr:cNvPr id="70717" name="AddButton" hidden="1">
              <a:extLst>
                <a:ext uri="{63B3BB69-23CF-44E3-9099-C40C66FF867C}">
                  <a14:compatExt spid="_x0000_s70717"/>
                </a:ext>
                <a:ext uri="{FF2B5EF4-FFF2-40B4-BE49-F238E27FC236}">
                  <a16:creationId xmlns:a16="http://schemas.microsoft.com/office/drawing/2014/main" id="{00000000-0008-0000-0300-00003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4</xdr:row>
          <xdr:rowOff>127000</xdr:rowOff>
        </xdr:from>
        <xdr:to>
          <xdr:col>3</xdr:col>
          <xdr:colOff>228600</xdr:colOff>
          <xdr:row>6</xdr:row>
          <xdr:rowOff>19050</xdr:rowOff>
        </xdr:to>
        <xdr:sp macro="" textlink="">
          <xdr:nvSpPr>
            <xdr:cNvPr id="70718" name="DeleteButton" hidden="1">
              <a:extLst>
                <a:ext uri="{63B3BB69-23CF-44E3-9099-C40C66FF867C}">
                  <a14:compatExt spid="_x0000_s70718"/>
                </a:ext>
                <a:ext uri="{FF2B5EF4-FFF2-40B4-BE49-F238E27FC236}">
                  <a16:creationId xmlns:a16="http://schemas.microsoft.com/office/drawing/2014/main" id="{00000000-0008-0000-0300-00003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19050</xdr:colOff>
          <xdr:row>20</xdr:row>
          <xdr:rowOff>19050</xdr:rowOff>
        </xdr:to>
        <xdr:sp macro="" textlink="">
          <xdr:nvSpPr>
            <xdr:cNvPr id="72744" name="ComboBox1" hidden="1">
              <a:extLst>
                <a:ext uri="{63B3BB69-23CF-44E3-9099-C40C66FF867C}">
                  <a14:compatExt spid="_x0000_s72744"/>
                </a:ext>
                <a:ext uri="{FF2B5EF4-FFF2-40B4-BE49-F238E27FC236}">
                  <a16:creationId xmlns:a16="http://schemas.microsoft.com/office/drawing/2014/main" id="{00000000-0008-0000-0400-00002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508000</xdr:colOff>
          <xdr:row>4</xdr:row>
          <xdr:rowOff>127000</xdr:rowOff>
        </xdr:from>
        <xdr:to>
          <xdr:col>2</xdr:col>
          <xdr:colOff>50800</xdr:colOff>
          <xdr:row>6</xdr:row>
          <xdr:rowOff>19050</xdr:rowOff>
        </xdr:to>
        <xdr:sp macro="" textlink="">
          <xdr:nvSpPr>
            <xdr:cNvPr id="72745" name="AddButton" hidden="1">
              <a:extLst>
                <a:ext uri="{63B3BB69-23CF-44E3-9099-C40C66FF867C}">
                  <a14:compatExt spid="_x0000_s72745"/>
                </a:ext>
                <a:ext uri="{FF2B5EF4-FFF2-40B4-BE49-F238E27FC236}">
                  <a16:creationId xmlns:a16="http://schemas.microsoft.com/office/drawing/2014/main" id="{00000000-0008-0000-0400-00002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4</xdr:row>
          <xdr:rowOff>127000</xdr:rowOff>
        </xdr:from>
        <xdr:to>
          <xdr:col>3</xdr:col>
          <xdr:colOff>228600</xdr:colOff>
          <xdr:row>6</xdr:row>
          <xdr:rowOff>19050</xdr:rowOff>
        </xdr:to>
        <xdr:sp macro="" textlink="">
          <xdr:nvSpPr>
            <xdr:cNvPr id="72746" name="DeleteButton" hidden="1">
              <a:extLst>
                <a:ext uri="{63B3BB69-23CF-44E3-9099-C40C66FF867C}">
                  <a14:compatExt spid="_x0000_s72746"/>
                </a:ext>
                <a:ext uri="{FF2B5EF4-FFF2-40B4-BE49-F238E27FC236}">
                  <a16:creationId xmlns:a16="http://schemas.microsoft.com/office/drawing/2014/main" id="{00000000-0008-0000-0400-00002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19050</xdr:colOff>
          <xdr:row>20</xdr:row>
          <xdr:rowOff>19050</xdr:rowOff>
        </xdr:to>
        <xdr:sp macro="" textlink="">
          <xdr:nvSpPr>
            <xdr:cNvPr id="71712" name="ComboBox1" hidden="1">
              <a:extLst>
                <a:ext uri="{63B3BB69-23CF-44E3-9099-C40C66FF867C}">
                  <a14:compatExt spid="_x0000_s71712"/>
                </a:ext>
                <a:ext uri="{FF2B5EF4-FFF2-40B4-BE49-F238E27FC236}">
                  <a16:creationId xmlns:a16="http://schemas.microsoft.com/office/drawing/2014/main" id="{00000000-0008-0000-0500-00002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508000</xdr:colOff>
          <xdr:row>4</xdr:row>
          <xdr:rowOff>127000</xdr:rowOff>
        </xdr:from>
        <xdr:to>
          <xdr:col>2</xdr:col>
          <xdr:colOff>50800</xdr:colOff>
          <xdr:row>6</xdr:row>
          <xdr:rowOff>19050</xdr:rowOff>
        </xdr:to>
        <xdr:sp macro="" textlink="">
          <xdr:nvSpPr>
            <xdr:cNvPr id="71713" name="AddButton" hidden="1">
              <a:extLst>
                <a:ext uri="{63B3BB69-23CF-44E3-9099-C40C66FF867C}">
                  <a14:compatExt spid="_x0000_s71713"/>
                </a:ext>
                <a:ext uri="{FF2B5EF4-FFF2-40B4-BE49-F238E27FC236}">
                  <a16:creationId xmlns:a16="http://schemas.microsoft.com/office/drawing/2014/main" id="{00000000-0008-0000-0500-00002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4</xdr:row>
          <xdr:rowOff>127000</xdr:rowOff>
        </xdr:from>
        <xdr:to>
          <xdr:col>3</xdr:col>
          <xdr:colOff>228600</xdr:colOff>
          <xdr:row>6</xdr:row>
          <xdr:rowOff>19050</xdr:rowOff>
        </xdr:to>
        <xdr:sp macro="" textlink="">
          <xdr:nvSpPr>
            <xdr:cNvPr id="71714" name="DeleteButton" hidden="1">
              <a:extLst>
                <a:ext uri="{63B3BB69-23CF-44E3-9099-C40C66FF867C}">
                  <a14:compatExt spid="_x0000_s71714"/>
                </a:ext>
                <a:ext uri="{FF2B5EF4-FFF2-40B4-BE49-F238E27FC236}">
                  <a16:creationId xmlns:a16="http://schemas.microsoft.com/office/drawing/2014/main" id="{00000000-0008-0000-0500-00002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203200</xdr:rowOff>
        </xdr:from>
        <xdr:to>
          <xdr:col>0</xdr:col>
          <xdr:colOff>19050</xdr:colOff>
          <xdr:row>14</xdr:row>
          <xdr:rowOff>222250</xdr:rowOff>
        </xdr:to>
        <xdr:sp macro="" textlink="">
          <xdr:nvSpPr>
            <xdr:cNvPr id="69676" name="ComboBox1" hidden="1">
              <a:extLst>
                <a:ext uri="{63B3BB69-23CF-44E3-9099-C40C66FF867C}">
                  <a14:compatExt spid="_x0000_s69676"/>
                </a:ext>
                <a:ext uri="{FF2B5EF4-FFF2-40B4-BE49-F238E27FC236}">
                  <a16:creationId xmlns:a16="http://schemas.microsoft.com/office/drawing/2014/main" id="{00000000-0008-0000-0600-00002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508000</xdr:colOff>
          <xdr:row>4</xdr:row>
          <xdr:rowOff>38100</xdr:rowOff>
        </xdr:from>
        <xdr:to>
          <xdr:col>0</xdr:col>
          <xdr:colOff>1270000</xdr:colOff>
          <xdr:row>5</xdr:row>
          <xdr:rowOff>38100</xdr:rowOff>
        </xdr:to>
        <xdr:sp macro="" textlink="">
          <xdr:nvSpPr>
            <xdr:cNvPr id="69677" name="AddButton" hidden="1">
              <a:extLst>
                <a:ext uri="{63B3BB69-23CF-44E3-9099-C40C66FF867C}">
                  <a14:compatExt spid="_x0000_s69677"/>
                </a:ext>
                <a:ext uri="{FF2B5EF4-FFF2-40B4-BE49-F238E27FC236}">
                  <a16:creationId xmlns:a16="http://schemas.microsoft.com/office/drawing/2014/main" id="{00000000-0008-0000-0600-00002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1295400</xdr:colOff>
          <xdr:row>4</xdr:row>
          <xdr:rowOff>38100</xdr:rowOff>
        </xdr:from>
        <xdr:to>
          <xdr:col>0</xdr:col>
          <xdr:colOff>2057400</xdr:colOff>
          <xdr:row>5</xdr:row>
          <xdr:rowOff>38100</xdr:rowOff>
        </xdr:to>
        <xdr:sp macro="" textlink="">
          <xdr:nvSpPr>
            <xdr:cNvPr id="69678" name="DeleteButton" hidden="1">
              <a:extLst>
                <a:ext uri="{63B3BB69-23CF-44E3-9099-C40C66FF867C}">
                  <a14:compatExt spid="_x0000_s69678"/>
                </a:ext>
                <a:ext uri="{FF2B5EF4-FFF2-40B4-BE49-F238E27FC236}">
                  <a16:creationId xmlns:a16="http://schemas.microsoft.com/office/drawing/2014/main" id="{00000000-0008-0000-0600-00002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FFF54E-F73A-4933-B63E-81639DF4F32C}" name="Elsewhere" displayName="Elsewhere" ref="O1:O331" totalsRowShown="0" headerRowDxfId="0">
  <autoFilter ref="O1:O331" xr:uid="{33FFF54E-F73A-4933-B63E-81639DF4F32C}"/>
  <tableColumns count="1">
    <tableColumn id="1" xr3:uid="{26EB0E83-00FB-4186-BDED-BB9C55E16C84}" name="Township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E781600-082E-45C5-B81F-0B7FDDAD6A42}" name="CityName" displayName="CityName" ref="D3:H36" totalsRowShown="0">
  <autoFilter ref="D3:H36" xr:uid="{2E781600-082E-45C5-B81F-0B7FDDAD6A42}"/>
  <sortState xmlns:xlrd2="http://schemas.microsoft.com/office/spreadsheetml/2017/richdata2" ref="D4:H36">
    <sortCondition ref="D4:D36"/>
  </sortState>
  <tableColumns count="5">
    <tableColumn id="1" xr3:uid="{A782649A-61E3-439D-AE31-0AC2BE5C9E88}" name="From (Area)/To (Area)"/>
    <tableColumn id="6" xr3:uid="{BCB74FE8-E3C2-4722-8D19-C06183938525}" name="DSA (Rate)2" dataDxfId="4">
      <calculatedColumnFormula>CityName[[#This Row],[Perdiem]]</calculatedColumnFormula>
    </tableColumn>
    <tableColumn id="4" xr3:uid="{C1817A62-346A-44C3-975B-767472C412BF}" name="Perdiem" dataDxfId="3"/>
    <tableColumn id="5" xr3:uid="{80B03A7D-8AF9-4DEE-9515-C88D72CB6538}" name="Column1" dataDxfId="2">
      <calculatedColumnFormula>(CityName[[#This Row],[Perdiem]]-(CityName[[#This Row],[Perdiem]]*CityName[[#This Row],[Hotel component]]))*10%</calculatedColumnFormula>
    </tableColumn>
    <tableColumn id="2" xr3:uid="{ED7130D2-327C-4639-861D-58E7C3C7BE32}" name="Hotel component" dataDxfId="1"/>
  </tableColumns>
  <tableStyleInfo name="TableStyleMedium2" showFirstColumn="0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CB445D-D439-42C5-AE2F-5B39B81EA59E}" name="Table24" displayName="Table24" ref="A3:A57" totalsRowShown="0">
  <autoFilter ref="A3:A57" xr:uid="{E6F7D042-A7CC-4E01-B577-F2C13F749A1D}"/>
  <tableColumns count="1">
    <tableColumn id="1" xr3:uid="{E77A857D-52B7-4347-AA0F-0C214528F0F7}" name="Cit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image" Target="../media/image1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79D12-66FE-409A-9999-1E35443BAA98}">
  <sheetPr codeName="Sheet16"/>
  <dimension ref="A1:S99"/>
  <sheetViews>
    <sheetView tabSelected="1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J10" sqref="J10"/>
    </sheetView>
  </sheetViews>
  <sheetFormatPr defaultColWidth="9.1796875" defaultRowHeight="14.5" x14ac:dyDescent="0.35"/>
  <cols>
    <col min="1" max="1" width="6.54296875" style="1" customWidth="1"/>
    <col min="2" max="2" width="17.26953125" style="1" customWidth="1"/>
    <col min="3" max="3" width="10.453125" style="1" customWidth="1"/>
    <col min="4" max="4" width="11.54296875" style="1" customWidth="1"/>
    <col min="5" max="7" width="9.26953125" style="1" customWidth="1"/>
    <col min="8" max="8" width="8.54296875" style="1" customWidth="1"/>
    <col min="9" max="9" width="6.453125" style="1" customWidth="1"/>
    <col min="10" max="10" width="12.1796875" style="1" customWidth="1"/>
    <col min="11" max="11" width="9.7265625" style="1" customWidth="1"/>
    <col min="12" max="12" width="11.26953125" style="1" customWidth="1"/>
    <col min="13" max="13" width="9.7265625" style="1" customWidth="1"/>
    <col min="14" max="14" width="10.1796875" style="1" customWidth="1"/>
    <col min="15" max="15" width="9.453125" style="1" customWidth="1"/>
    <col min="16" max="16" width="12.453125" style="1" customWidth="1"/>
    <col min="17" max="17" width="21.1796875" style="1" customWidth="1"/>
    <col min="18" max="18" width="11.81640625" style="1" customWidth="1"/>
    <col min="19" max="19" width="9.1796875" style="1" customWidth="1"/>
    <col min="20" max="16384" width="9.1796875" style="1"/>
  </cols>
  <sheetData>
    <row r="1" spans="1:19" ht="40.5" customHeight="1" x14ac:dyDescent="0.35">
      <c r="A1" s="53" t="s">
        <v>469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</row>
    <row r="2" spans="1:19" s="2" customFormat="1" ht="32.25" customHeight="1" thickBot="1" x14ac:dyDescent="0.4">
      <c r="A2" s="33" t="s">
        <v>0</v>
      </c>
      <c r="D2" s="30" t="s">
        <v>1</v>
      </c>
      <c r="F2" s="2" t="s">
        <v>2</v>
      </c>
      <c r="G2" s="52">
        <v>46143</v>
      </c>
      <c r="H2" s="3"/>
      <c r="I2" s="30" t="s">
        <v>3</v>
      </c>
      <c r="J2" s="29"/>
      <c r="K2" s="30" t="s">
        <v>4</v>
      </c>
      <c r="L2" s="30" t="s">
        <v>5</v>
      </c>
      <c r="M2" s="30" t="s">
        <v>6</v>
      </c>
      <c r="N2" s="30" t="s">
        <v>7</v>
      </c>
      <c r="O2" s="30"/>
      <c r="P2" s="30" t="s">
        <v>8</v>
      </c>
      <c r="Q2" s="2" t="s">
        <v>9</v>
      </c>
      <c r="R2" s="55" t="s">
        <v>476</v>
      </c>
      <c r="S2" s="55"/>
    </row>
    <row r="3" spans="1:19" ht="43.5" x14ac:dyDescent="0.35">
      <c r="A3" s="4" t="s">
        <v>10</v>
      </c>
      <c r="B3" s="5" t="s">
        <v>11</v>
      </c>
      <c r="C3" s="5" t="s">
        <v>12</v>
      </c>
      <c r="D3" s="5" t="s">
        <v>13</v>
      </c>
      <c r="E3" s="5" t="s">
        <v>14</v>
      </c>
      <c r="F3" s="5" t="s">
        <v>15</v>
      </c>
      <c r="G3" s="5" t="s">
        <v>14</v>
      </c>
      <c r="H3" s="5" t="s">
        <v>16</v>
      </c>
      <c r="I3" s="5" t="s">
        <v>17</v>
      </c>
      <c r="J3" s="5" t="s">
        <v>18</v>
      </c>
      <c r="K3" s="5" t="s">
        <v>19</v>
      </c>
      <c r="L3" s="5" t="s">
        <v>20</v>
      </c>
      <c r="M3" s="5" t="s">
        <v>21</v>
      </c>
      <c r="N3" s="5" t="s">
        <v>22</v>
      </c>
      <c r="O3" s="5" t="s">
        <v>23</v>
      </c>
      <c r="P3" s="5" t="s">
        <v>24</v>
      </c>
      <c r="Q3" s="5" t="s">
        <v>25</v>
      </c>
      <c r="R3" s="5" t="s">
        <v>26</v>
      </c>
      <c r="S3" s="6" t="s">
        <v>27</v>
      </c>
    </row>
    <row r="4" spans="1:19" ht="51" customHeight="1" x14ac:dyDescent="0.35">
      <c r="A4" s="7" t="s">
        <v>28</v>
      </c>
      <c r="B4" s="59" t="s">
        <v>473</v>
      </c>
      <c r="C4" s="20">
        <v>46153</v>
      </c>
      <c r="D4" s="24" t="s">
        <v>29</v>
      </c>
      <c r="E4" s="24"/>
      <c r="F4" s="24" t="s">
        <v>53</v>
      </c>
      <c r="G4" s="24"/>
      <c r="H4" s="24" t="s">
        <v>63</v>
      </c>
      <c r="I4" s="21">
        <v>1</v>
      </c>
      <c r="J4" s="24" t="s">
        <v>60</v>
      </c>
      <c r="K4" s="36">
        <f>IF(J4="Full deduction (100%)","0",IF(OR(J4='drop list'!$M$12,J4='drop list'!$M$14),VLOOKUP(F4,'drop list'!$D$4:$F$80,2,FALSE),IF(J4='drop list'!$M$13,VLOOKUP(D4,'drop list'!$D$4:$F$80,2,FALSE),VLOOKUP(F4,'drop list'!$D$4:$F$80,2,FALSE)*I4*VLOOKUP(J4,'drop list'!$M$4:$N$11,2,FALSE))))</f>
        <v>30.768245838668374</v>
      </c>
      <c r="L4" s="26"/>
      <c r="M4" s="26"/>
      <c r="N4" s="26"/>
      <c r="O4" s="26">
        <v>4210</v>
      </c>
      <c r="P4" s="25">
        <f>(K4*O4)+(N4*O4)+L4+M4</f>
        <v>129534.31498079386</v>
      </c>
      <c r="Q4" s="8"/>
      <c r="R4" s="9"/>
      <c r="S4" s="10"/>
    </row>
    <row r="5" spans="1:19" ht="51" customHeight="1" x14ac:dyDescent="0.35">
      <c r="A5" s="7" t="s">
        <v>28</v>
      </c>
      <c r="B5" s="59"/>
      <c r="C5" s="20">
        <v>46154</v>
      </c>
      <c r="D5" s="24" t="s">
        <v>53</v>
      </c>
      <c r="E5" s="24"/>
      <c r="F5" s="24" t="s">
        <v>29</v>
      </c>
      <c r="G5" s="24"/>
      <c r="H5" s="24" t="s">
        <v>63</v>
      </c>
      <c r="I5" s="21" t="str">
        <f t="shared" ref="I5" ca="1" si="0">IF(OR(OFFSET(C5,1,0)=0,C5=0),"0",OFFSET(C5,1,0)-C5)</f>
        <v>0</v>
      </c>
      <c r="J5" s="24" t="s">
        <v>33</v>
      </c>
      <c r="K5" s="36">
        <f ca="1">IF(J5="Full deduction (100%)","0",IF(OR(J5='drop list'!$M$12,J5='drop list'!$M$14),VLOOKUP(F5,'drop list'!$D$5:$F$80,2,FALSE),IF(J5='drop list'!$M$13,VLOOKUP(D5,'drop list'!$D$5:$F$80,2,FALSE),VLOOKUP(F5,'drop list'!$D$5:$F$80,2,FALSE)*I5*VLOOKUP(J5,'drop list'!$M$4:$N$11,2,FALSE))))</f>
        <v>0</v>
      </c>
      <c r="L5" s="26"/>
      <c r="M5" s="26"/>
      <c r="N5" s="26"/>
      <c r="O5" s="26">
        <v>4210</v>
      </c>
      <c r="P5" s="25">
        <f ca="1">(K5*O5)+(N5*O5)+L5+M5</f>
        <v>0</v>
      </c>
      <c r="Q5" s="8"/>
      <c r="R5" s="9"/>
      <c r="S5" s="10"/>
    </row>
    <row r="6" spans="1:19" ht="20.149999999999999" customHeight="1" x14ac:dyDescent="0.35">
      <c r="A6" s="11"/>
      <c r="B6" s="12"/>
      <c r="C6" s="12"/>
      <c r="D6" s="60" t="str">
        <f>B4</f>
        <v>Ms. (Name), Position (Duty Station), Unit</v>
      </c>
      <c r="E6" s="61"/>
      <c r="F6" s="61"/>
      <c r="G6" s="61"/>
      <c r="H6" s="62"/>
      <c r="I6" s="38">
        <f ca="1">SUM(I4:I5)</f>
        <v>1</v>
      </c>
      <c r="J6" s="22"/>
      <c r="K6" s="38">
        <f ca="1">SUM(K4:K5)</f>
        <v>30.768245838668374</v>
      </c>
      <c r="L6" s="38">
        <f>SUM(L4:L5)</f>
        <v>0</v>
      </c>
      <c r="M6" s="38">
        <f>SUM(M4:M5)</f>
        <v>0</v>
      </c>
      <c r="N6" s="38">
        <f>SUM(N4:N5)</f>
        <v>0</v>
      </c>
      <c r="O6" s="39"/>
      <c r="P6" s="38">
        <f ca="1">SUM(P4:P5)</f>
        <v>129534.31498079386</v>
      </c>
      <c r="Q6" s="32"/>
      <c r="R6" s="12"/>
      <c r="S6" s="13"/>
    </row>
    <row r="7" spans="1:19" ht="20.149999999999999" customHeight="1" thickBot="1" x14ac:dyDescent="0.4">
      <c r="A7" s="56" t="s">
        <v>34</v>
      </c>
      <c r="B7" s="57"/>
      <c r="C7" s="57"/>
      <c r="D7" s="57"/>
      <c r="E7" s="57"/>
      <c r="F7" s="57"/>
      <c r="G7" s="57"/>
      <c r="H7" s="58"/>
      <c r="I7" s="37">
        <f ca="1">SUM(INDIRECT(I2):OFFSET(I7,-1,0))/2</f>
        <v>1</v>
      </c>
      <c r="J7" s="23"/>
      <c r="K7" s="47">
        <f ca="1">SUM(INDIRECT(K2):OFFSET(K7,-1,0))/2</f>
        <v>30.768245838668374</v>
      </c>
      <c r="L7" s="40">
        <f ca="1">SUM(INDIRECT(L2):OFFSET(L7,-1,0))/2</f>
        <v>0</v>
      </c>
      <c r="M7" s="40">
        <f ca="1">SUM(INDIRECT(M2):OFFSET(M7,-1,0))/2</f>
        <v>0</v>
      </c>
      <c r="N7" s="40">
        <f ca="1">SUM(INDIRECT(N2):OFFSET(N7,-1,0))/2</f>
        <v>0</v>
      </c>
      <c r="O7" s="41"/>
      <c r="P7" s="40">
        <f ca="1">SUM(INDIRECT(P2):OFFSET(P7,-1,0))/2</f>
        <v>129534.31498079386</v>
      </c>
      <c r="Q7" s="31" t="s">
        <v>33</v>
      </c>
      <c r="R7" s="14"/>
      <c r="S7" s="15"/>
    </row>
    <row r="8" spans="1:19" ht="20.149999999999999" customHeight="1" x14ac:dyDescent="0.35">
      <c r="P8" s="34"/>
    </row>
    <row r="9" spans="1:19" ht="20.149999999999999" customHeight="1" x14ac:dyDescent="0.35">
      <c r="P9" s="35"/>
    </row>
    <row r="10" spans="1:19" ht="20.149999999999999" customHeight="1" x14ac:dyDescent="0.35">
      <c r="P10" s="35"/>
    </row>
    <row r="11" spans="1:19" ht="20.149999999999999" customHeight="1" x14ac:dyDescent="0.35">
      <c r="A11" s="1" t="s">
        <v>35</v>
      </c>
      <c r="E11" s="1" t="s">
        <v>35</v>
      </c>
      <c r="K11" s="1" t="s">
        <v>36</v>
      </c>
      <c r="P11" s="35"/>
    </row>
    <row r="12" spans="1:19" ht="20.149999999999999" customHeight="1" x14ac:dyDescent="0.45">
      <c r="A12" s="49" t="s">
        <v>470</v>
      </c>
      <c r="B12" s="49"/>
      <c r="E12" s="49" t="s">
        <v>472</v>
      </c>
      <c r="K12" s="49" t="s">
        <v>475</v>
      </c>
      <c r="P12" s="28"/>
    </row>
    <row r="13" spans="1:19" s="19" customFormat="1" ht="20.149999999999999" customHeight="1" x14ac:dyDescent="0.45">
      <c r="A13" s="49" t="s">
        <v>471</v>
      </c>
      <c r="B13" s="49"/>
      <c r="K13" s="27"/>
      <c r="P13" s="28"/>
    </row>
    <row r="14" spans="1:19" ht="20.149999999999999" customHeight="1" x14ac:dyDescent="0.35">
      <c r="A14" s="50" t="s">
        <v>474</v>
      </c>
      <c r="B14" s="51"/>
    </row>
    <row r="15" spans="1:19" ht="20.149999999999999" customHeight="1" x14ac:dyDescent="0.35">
      <c r="A15" s="35"/>
      <c r="B15" s="51">
        <v>46163</v>
      </c>
    </row>
    <row r="16" spans="1:19" ht="20.149999999999999" customHeight="1" x14ac:dyDescent="0.35"/>
    <row r="17" spans="1:2" ht="20.149999999999999" customHeight="1" x14ac:dyDescent="0.35">
      <c r="A17" s="16"/>
      <c r="B17" s="1" t="s">
        <v>37</v>
      </c>
    </row>
    <row r="18" spans="1:2" ht="20.149999999999999" customHeight="1" x14ac:dyDescent="0.35">
      <c r="A18" s="17"/>
      <c r="B18" s="1" t="s">
        <v>38</v>
      </c>
    </row>
    <row r="19" spans="1:2" ht="20.149999999999999" customHeight="1" x14ac:dyDescent="0.35">
      <c r="A19" s="18"/>
      <c r="B19" s="1" t="s">
        <v>39</v>
      </c>
    </row>
    <row r="20" spans="1:2" ht="20.149999999999999" customHeight="1" x14ac:dyDescent="0.35"/>
    <row r="21" spans="1:2" ht="20.149999999999999" customHeight="1" x14ac:dyDescent="0.35"/>
    <row r="22" spans="1:2" ht="20.149999999999999" customHeight="1" x14ac:dyDescent="0.35"/>
    <row r="23" spans="1:2" ht="20.149999999999999" customHeight="1" x14ac:dyDescent="0.35"/>
    <row r="24" spans="1:2" ht="20.149999999999999" customHeight="1" x14ac:dyDescent="0.35"/>
    <row r="25" spans="1:2" ht="20.149999999999999" customHeight="1" x14ac:dyDescent="0.35"/>
    <row r="26" spans="1:2" ht="20.149999999999999" customHeight="1" x14ac:dyDescent="0.35"/>
    <row r="27" spans="1:2" ht="20.149999999999999" customHeight="1" x14ac:dyDescent="0.35"/>
    <row r="28" spans="1:2" ht="20.149999999999999" customHeight="1" x14ac:dyDescent="0.35"/>
    <row r="29" spans="1:2" ht="20.149999999999999" customHeight="1" x14ac:dyDescent="0.35"/>
    <row r="30" spans="1:2" ht="20.149999999999999" customHeight="1" x14ac:dyDescent="0.35"/>
    <row r="31" spans="1:2" ht="20.149999999999999" customHeight="1" x14ac:dyDescent="0.35"/>
    <row r="32" spans="1:2" ht="20.149999999999999" customHeight="1" x14ac:dyDescent="0.35"/>
    <row r="33" ht="20.149999999999999" customHeight="1" x14ac:dyDescent="0.35"/>
    <row r="34" ht="20.149999999999999" customHeight="1" x14ac:dyDescent="0.35"/>
    <row r="35" ht="20.149999999999999" customHeight="1" x14ac:dyDescent="0.35"/>
    <row r="36" ht="20.149999999999999" customHeight="1" x14ac:dyDescent="0.35"/>
    <row r="37" ht="20.149999999999999" customHeight="1" x14ac:dyDescent="0.35"/>
    <row r="38" ht="20.149999999999999" customHeight="1" x14ac:dyDescent="0.35"/>
    <row r="39" ht="20.149999999999999" customHeight="1" x14ac:dyDescent="0.35"/>
    <row r="40" ht="20.149999999999999" customHeight="1" x14ac:dyDescent="0.35"/>
    <row r="41" ht="20.149999999999999" customHeight="1" x14ac:dyDescent="0.35"/>
    <row r="42" ht="20.149999999999999" customHeight="1" x14ac:dyDescent="0.35"/>
    <row r="43" ht="20.149999999999999" customHeight="1" x14ac:dyDescent="0.35"/>
    <row r="44" ht="20.149999999999999" customHeight="1" x14ac:dyDescent="0.35"/>
    <row r="45" ht="20.149999999999999" customHeight="1" x14ac:dyDescent="0.35"/>
    <row r="46" ht="20.149999999999999" customHeight="1" x14ac:dyDescent="0.35"/>
    <row r="47" ht="20.149999999999999" customHeight="1" x14ac:dyDescent="0.35"/>
    <row r="48" ht="20.149999999999999" customHeight="1" x14ac:dyDescent="0.35"/>
    <row r="49" ht="20.149999999999999" customHeight="1" x14ac:dyDescent="0.35"/>
    <row r="50" ht="20.149999999999999" customHeight="1" x14ac:dyDescent="0.35"/>
    <row r="51" ht="20.149999999999999" customHeight="1" x14ac:dyDescent="0.35"/>
    <row r="52" ht="20.149999999999999" customHeight="1" x14ac:dyDescent="0.35"/>
    <row r="53" ht="20.149999999999999" customHeight="1" x14ac:dyDescent="0.35"/>
    <row r="54" ht="20.149999999999999" customHeight="1" x14ac:dyDescent="0.35"/>
    <row r="55" ht="20.149999999999999" customHeight="1" x14ac:dyDescent="0.35"/>
    <row r="56" ht="20.149999999999999" customHeight="1" x14ac:dyDescent="0.35"/>
    <row r="57" ht="20.149999999999999" customHeight="1" x14ac:dyDescent="0.35"/>
    <row r="58" ht="20.149999999999999" customHeight="1" x14ac:dyDescent="0.35"/>
    <row r="59" ht="20.149999999999999" customHeight="1" x14ac:dyDescent="0.35"/>
    <row r="60" ht="20.149999999999999" customHeight="1" x14ac:dyDescent="0.35"/>
    <row r="61" ht="20.149999999999999" customHeight="1" x14ac:dyDescent="0.35"/>
    <row r="62" ht="20.149999999999999" customHeight="1" x14ac:dyDescent="0.35"/>
    <row r="63" ht="20.149999999999999" customHeight="1" x14ac:dyDescent="0.35"/>
    <row r="64" ht="20.149999999999999" customHeight="1" x14ac:dyDescent="0.35"/>
    <row r="65" ht="20.149999999999999" customHeight="1" x14ac:dyDescent="0.35"/>
    <row r="66" ht="20.149999999999999" customHeight="1" x14ac:dyDescent="0.35"/>
    <row r="67" ht="20.149999999999999" customHeight="1" x14ac:dyDescent="0.35"/>
    <row r="68" ht="20.149999999999999" customHeight="1" x14ac:dyDescent="0.35"/>
    <row r="69" ht="20.149999999999999" customHeight="1" x14ac:dyDescent="0.35"/>
    <row r="70" ht="20.149999999999999" customHeight="1" x14ac:dyDescent="0.35"/>
    <row r="71" ht="20.149999999999999" customHeight="1" x14ac:dyDescent="0.35"/>
    <row r="72" ht="20.149999999999999" customHeight="1" x14ac:dyDescent="0.35"/>
    <row r="73" ht="20.149999999999999" customHeight="1" x14ac:dyDescent="0.35"/>
    <row r="74" ht="20.149999999999999" customHeight="1" x14ac:dyDescent="0.35"/>
    <row r="75" ht="20.149999999999999" customHeight="1" x14ac:dyDescent="0.35"/>
    <row r="76" ht="20.149999999999999" customHeight="1" x14ac:dyDescent="0.35"/>
    <row r="77" ht="20.149999999999999" customHeight="1" x14ac:dyDescent="0.35"/>
    <row r="78" ht="20.149999999999999" customHeight="1" x14ac:dyDescent="0.35"/>
    <row r="79" ht="20.149999999999999" customHeight="1" x14ac:dyDescent="0.35"/>
    <row r="80" ht="20.149999999999999" customHeight="1" x14ac:dyDescent="0.35"/>
    <row r="81" ht="20.149999999999999" customHeight="1" x14ac:dyDescent="0.35"/>
    <row r="82" ht="20.149999999999999" customHeight="1" x14ac:dyDescent="0.35"/>
    <row r="83" ht="20.149999999999999" customHeight="1" x14ac:dyDescent="0.35"/>
    <row r="84" ht="20.149999999999999" customHeight="1" x14ac:dyDescent="0.35"/>
    <row r="85" ht="20.149999999999999" customHeight="1" x14ac:dyDescent="0.35"/>
    <row r="86" ht="20.149999999999999" customHeight="1" x14ac:dyDescent="0.35"/>
    <row r="87" ht="20.149999999999999" customHeight="1" x14ac:dyDescent="0.35"/>
    <row r="88" ht="20.149999999999999" customHeight="1" x14ac:dyDescent="0.35"/>
    <row r="89" ht="20.149999999999999" customHeight="1" x14ac:dyDescent="0.35"/>
    <row r="90" ht="20.149999999999999" customHeight="1" x14ac:dyDescent="0.35"/>
    <row r="91" ht="20.149999999999999" customHeight="1" x14ac:dyDescent="0.35"/>
    <row r="92" ht="20.149999999999999" customHeight="1" x14ac:dyDescent="0.35"/>
    <row r="93" ht="20.149999999999999" customHeight="1" x14ac:dyDescent="0.35"/>
    <row r="94" ht="20.149999999999999" customHeight="1" x14ac:dyDescent="0.35"/>
    <row r="95" ht="20.149999999999999" customHeight="1" x14ac:dyDescent="0.35"/>
    <row r="96" ht="20.149999999999999" customHeight="1" x14ac:dyDescent="0.35"/>
    <row r="97" ht="20.149999999999999" customHeight="1" x14ac:dyDescent="0.35"/>
    <row r="98" ht="20.149999999999999" customHeight="1" x14ac:dyDescent="0.35"/>
    <row r="99" ht="20.149999999999999" customHeight="1" x14ac:dyDescent="0.35"/>
  </sheetData>
  <sheetProtection formatCells="0" formatColumns="0" formatRows="0"/>
  <mergeCells count="5">
    <mergeCell ref="A1:S1"/>
    <mergeCell ref="R2:S2"/>
    <mergeCell ref="A7:H7"/>
    <mergeCell ref="B4:B5"/>
    <mergeCell ref="D6:H6"/>
  </mergeCells>
  <dataValidations count="1">
    <dataValidation type="list" allowBlank="1" showDropDown="1" showInputMessage="1" showErrorMessage="1" sqref="U5" xr:uid="{E0BDE571-B606-4088-98AC-4151377C3BE3}">
      <formula1>INDIRECT($D$4)</formula1>
    </dataValidation>
  </dataValidations>
  <pageMargins left="0.11811023622047245" right="0" top="0.11811023622047245" bottom="0.11811023622047245" header="0.31496062992125984" footer="0.31496062992125984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178" r:id="rId4" name="AddButton">
              <controlPr defaultSize="0" print="0" autoFill="0" autoPict="0" macro="[0]!AddRow">
                <anchor moveWithCells="1" sizeWithCells="1">
                  <from>
                    <xdr:col>1</xdr:col>
                    <xdr:colOff>69850</xdr:colOff>
                    <xdr:row>1</xdr:row>
                    <xdr:rowOff>374650</xdr:rowOff>
                  </from>
                  <to>
                    <xdr:col>1</xdr:col>
                    <xdr:colOff>831850</xdr:colOff>
                    <xdr:row>2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79" r:id="rId5" name="DeleteButton">
              <controlPr defaultSize="0" print="0" autoFill="0" autoPict="0" macro="[0]!DeleteRow">
                <anchor moveWithCells="1" sizeWithCells="1">
                  <from>
                    <xdr:col>1</xdr:col>
                    <xdr:colOff>857250</xdr:colOff>
                    <xdr:row>1</xdr:row>
                    <xdr:rowOff>374650</xdr:rowOff>
                  </from>
                  <to>
                    <xdr:col>2</xdr:col>
                    <xdr:colOff>469900</xdr:colOff>
                    <xdr:row>2</xdr:row>
                    <xdr:rowOff>241300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DropDown="1" showInputMessage="1" showErrorMessage="1" xr:uid="{040F0B52-6CD8-4528-8616-3DD340370E38}">
          <x14:formula1>
            <xm:f>'drop list'!$B$4:$B$11</xm:f>
          </x14:formula1>
          <xm:sqref>H4:H5</xm:sqref>
        </x14:dataValidation>
        <x14:dataValidation type="list" allowBlank="1" showDropDown="1" showInputMessage="1" showErrorMessage="1" xr:uid="{776FA9DF-8995-4511-827C-CD7FF3B19924}">
          <x14:formula1>
            <xm:f>'drop list'!$A$4:$A$16</xm:f>
          </x14:formula1>
          <xm:sqref>A4:A5</xm:sqref>
        </x14:dataValidation>
        <x14:dataValidation type="list" allowBlank="1" showDropDown="1" showInputMessage="1" showErrorMessage="1" xr:uid="{7F3EF586-C136-43AD-BEEF-0C5961EDE84D}">
          <x14:formula1>
            <xm:f>'drop list'!$O$2:$O$331</xm:f>
          </x14:formula1>
          <xm:sqref>E4:E5 G4:G5</xm:sqref>
        </x14:dataValidation>
        <x14:dataValidation type="list" allowBlank="1" showDropDown="1" showInputMessage="1" showErrorMessage="1" xr:uid="{7B0547C2-087D-4F31-9872-FE40BCCA9038}">
          <x14:formula1>
            <xm:f>'drop list'!$D$4:$D$35</xm:f>
          </x14:formula1>
          <xm:sqref>D4:D5 F4:F5</xm:sqref>
        </x14:dataValidation>
        <x14:dataValidation type="list" allowBlank="1" showDropDown="1" showInputMessage="1" showErrorMessage="1" xr:uid="{3C30C94C-D4A7-4018-A32B-0F4BE4CA2228}">
          <x14:formula1>
            <xm:f>'drop list'!$M$4:$M$14</xm:f>
          </x14:formula1>
          <xm:sqref>J4:J5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9556D-3984-4840-98B0-66D1A10CA4ED}">
  <sheetPr codeName="Sheet2"/>
  <dimension ref="G10"/>
  <sheetViews>
    <sheetView workbookViewId="0">
      <selection activeCell="B3" sqref="B3"/>
    </sheetView>
  </sheetViews>
  <sheetFormatPr defaultRowHeight="14.5" x14ac:dyDescent="0.35"/>
  <cols>
    <col min="7" max="7" width="16" customWidth="1"/>
  </cols>
  <sheetData>
    <row r="10" spans="7:7" x14ac:dyDescent="0.35">
      <c r="G10" t="s">
        <v>40</v>
      </c>
    </row>
  </sheetData>
  <sheetProtection algorithmName="SHA-512" hashValue="x0fTgu0yFKv3GHKyEJJ2ZruWtOm2aC2jXsQVlq+crZqq16/ver+9U7cjQv9/aay+e2EcGq6C61QhstqSDT7F2A==" saltValue="DUxUX2UNfR7CDpG5mMXP4A==" spinCount="100000" sheet="1" formatCells="0" formatColumns="0" formatRows="0"/>
  <dataValidations count="1">
    <dataValidation type="list" allowBlank="1" showDropDown="1" showInputMessage="1" showErrorMessage="1" sqref="H10" xr:uid="{3873AA83-8B00-4F80-BF2B-D75B7C72D96D}">
      <formula1>INDIRECT("Elsewhere")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5829" r:id="rId3" name="ComboBox1">
          <controlPr defaultSize="0" autoLine="0" r:id="rId4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19050</xdr:colOff>
                <xdr:row>20</xdr:row>
                <xdr:rowOff>19050</xdr:rowOff>
              </to>
            </anchor>
          </controlPr>
        </control>
      </mc:Choice>
      <mc:Fallback>
        <control shapeId="75829" r:id="rId3" name="ComboBox1"/>
      </mc:Fallback>
    </mc:AlternateContent>
    <mc:AlternateContent xmlns:mc="http://schemas.openxmlformats.org/markup-compatibility/2006">
      <mc:Choice Requires="x14">
        <control shapeId="75830" r:id="rId5" name="AddButton">
          <controlPr defaultSize="0" print="0" autoFill="0" autoPict="0" macro="[0]!AddRow">
            <anchor moveWithCells="1" sizeWithCells="1">
              <from>
                <xdr:col>0</xdr:col>
                <xdr:colOff>508000</xdr:colOff>
                <xdr:row>4</xdr:row>
                <xdr:rowOff>127000</xdr:rowOff>
              </from>
              <to>
                <xdr:col>2</xdr:col>
                <xdr:colOff>50800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831" r:id="rId6" name="DeleteButton">
          <controlPr defaultSize="0" print="0" autoFill="0" autoPict="0" macro="[0]!DeleteRow">
            <anchor moveWithCells="1" sizeWithCells="1">
              <from>
                <xdr:col>2</xdr:col>
                <xdr:colOff>76200</xdr:colOff>
                <xdr:row>4</xdr:row>
                <xdr:rowOff>127000</xdr:rowOff>
              </from>
              <to>
                <xdr:col>3</xdr:col>
                <xdr:colOff>228600</xdr:colOff>
                <xdr:row>6</xdr:row>
                <xdr:rowOff>19050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D5402D-E26E-430E-926D-EF58409D5AED}">
          <x14:formula1>
            <xm:f>'drop list'!$O$2:$O$331</xm:f>
          </x14:formula1>
          <xm:sqref>I10</xm:sqref>
        </x14:dataValidation>
        <x14:dataValidation type="list" allowBlank="1" showDropDown="1" showInputMessage="1" showErrorMessage="1" xr:uid="{C344F8DB-F8CD-45C5-AAF4-F8321996B5F5}">
          <x14:formula1>
            <xm:f>'drop list'!$D$5:$D$19</xm:f>
          </x14:formula1>
          <xm:sqref>G10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D5FC-8CC1-4192-9821-9B99C5DD4552}">
  <sheetPr codeName="Sheet1"/>
  <dimension ref="A1:Q331"/>
  <sheetViews>
    <sheetView workbookViewId="0">
      <selection activeCell="K11" sqref="K11"/>
    </sheetView>
  </sheetViews>
  <sheetFormatPr defaultRowHeight="14.5" x14ac:dyDescent="0.35"/>
  <cols>
    <col min="1" max="1" width="16" customWidth="1"/>
    <col min="2" max="2" width="16.26953125" customWidth="1"/>
    <col min="3" max="3" width="4.7265625" customWidth="1"/>
    <col min="4" max="4" width="31.54296875" customWidth="1"/>
    <col min="5" max="8" width="12.54296875" customWidth="1"/>
    <col min="9" max="9" width="11" customWidth="1"/>
    <col min="10" max="10" width="24.26953125" bestFit="1" customWidth="1"/>
    <col min="11" max="11" width="10.26953125" customWidth="1"/>
    <col min="12" max="12" width="35.7265625" customWidth="1"/>
    <col min="13" max="13" width="28.54296875" customWidth="1"/>
    <col min="14" max="14" width="26.1796875" customWidth="1"/>
    <col min="15" max="15" width="26.7265625" customWidth="1"/>
    <col min="16" max="16" width="16.26953125" customWidth="1"/>
  </cols>
  <sheetData>
    <row r="1" spans="1:17" ht="16.5" customHeight="1" x14ac:dyDescent="0.35">
      <c r="H1" s="42"/>
      <c r="M1" s="44">
        <v>1</v>
      </c>
      <c r="N1" t="s">
        <v>40</v>
      </c>
      <c r="O1" s="63" t="s">
        <v>14</v>
      </c>
      <c r="P1" t="s">
        <v>41</v>
      </c>
    </row>
    <row r="2" spans="1:17" ht="16.5" customHeight="1" x14ac:dyDescent="0.35">
      <c r="A2" s="64"/>
      <c r="D2" s="64"/>
      <c r="N2" t="s">
        <v>42</v>
      </c>
      <c r="O2" t="s">
        <v>42</v>
      </c>
      <c r="P2" t="s">
        <v>29</v>
      </c>
    </row>
    <row r="3" spans="1:17" ht="19.5" customHeight="1" x14ac:dyDescent="0.35">
      <c r="A3" s="63" t="s">
        <v>10</v>
      </c>
      <c r="B3" s="63" t="s">
        <v>478</v>
      </c>
      <c r="D3" s="65" t="s">
        <v>477</v>
      </c>
      <c r="E3" t="s">
        <v>44</v>
      </c>
      <c r="F3" t="s">
        <v>45</v>
      </c>
      <c r="G3" t="s">
        <v>46</v>
      </c>
      <c r="H3" t="s">
        <v>47</v>
      </c>
      <c r="K3" t="s">
        <v>48</v>
      </c>
      <c r="M3" s="63" t="s">
        <v>18</v>
      </c>
      <c r="N3" t="s">
        <v>49</v>
      </c>
      <c r="O3" t="s">
        <v>50</v>
      </c>
      <c r="P3" t="s">
        <v>50</v>
      </c>
      <c r="Q3" t="s">
        <v>51</v>
      </c>
    </row>
    <row r="4" spans="1:17" ht="16.5" customHeight="1" x14ac:dyDescent="0.35">
      <c r="A4" t="s">
        <v>52</v>
      </c>
      <c r="B4" t="s">
        <v>31</v>
      </c>
      <c r="D4" t="s">
        <v>53</v>
      </c>
      <c r="E4" s="43">
        <f>(CityName[[#This Row],[Perdiem]]-(CityName[[#This Row],[Perdiem]]*CityName[[#This Row],[Hotel component]]))-CityName[[#This Row],[Column1]]</f>
        <v>30.768245838668374</v>
      </c>
      <c r="F4" s="45">
        <v>113.95646606914212</v>
      </c>
      <c r="G4" s="43">
        <f>(CityName[[#This Row],[Perdiem]]-(CityName[[#This Row],[Perdiem]]*CityName[[#This Row],[Hotel component]]))*10%</f>
        <v>3.4186939820742639</v>
      </c>
      <c r="H4" s="46">
        <v>0.7</v>
      </c>
      <c r="J4" t="s">
        <v>51</v>
      </c>
      <c r="K4">
        <v>25</v>
      </c>
      <c r="M4" s="48" t="s">
        <v>33</v>
      </c>
      <c r="N4" s="42">
        <v>0</v>
      </c>
      <c r="O4" t="s">
        <v>54</v>
      </c>
      <c r="P4" t="s">
        <v>54</v>
      </c>
      <c r="Q4" t="s">
        <v>55</v>
      </c>
    </row>
    <row r="5" spans="1:17" ht="22" customHeight="1" x14ac:dyDescent="0.35">
      <c r="A5" t="s">
        <v>56</v>
      </c>
      <c r="B5" t="s">
        <v>57</v>
      </c>
      <c r="D5" t="s">
        <v>58</v>
      </c>
      <c r="E5" s="43">
        <f>(CityName[[#This Row],[Perdiem]]-(CityName[[#This Row],[Perdiem]]*CityName[[#This Row],[Hotel component]]))-CityName[[#This Row],[Column1]]</f>
        <v>24.845070422535208</v>
      </c>
      <c r="F5" s="45">
        <v>78.873239436619713</v>
      </c>
      <c r="G5" s="43">
        <f>(CityName[[#This Row],[Perdiem]]-(CityName[[#This Row],[Perdiem]]*CityName[[#This Row],[Hotel component]]))*10%</f>
        <v>2.76056338028169</v>
      </c>
      <c r="H5" s="46">
        <v>0.65</v>
      </c>
      <c r="J5" t="s">
        <v>59</v>
      </c>
      <c r="K5">
        <v>25</v>
      </c>
      <c r="M5" t="s">
        <v>60</v>
      </c>
      <c r="N5" s="42">
        <v>1</v>
      </c>
      <c r="O5" t="s">
        <v>61</v>
      </c>
      <c r="P5" t="s">
        <v>61</v>
      </c>
      <c r="Q5" t="s">
        <v>62</v>
      </c>
    </row>
    <row r="6" spans="1:17" ht="22" customHeight="1" x14ac:dyDescent="0.35">
      <c r="A6" t="s">
        <v>28</v>
      </c>
      <c r="B6" t="s">
        <v>63</v>
      </c>
      <c r="D6" t="s">
        <v>64</v>
      </c>
      <c r="E6" s="43">
        <f>(CityName[[#This Row],[Perdiem]]-(CityName[[#This Row],[Perdiem]]*CityName[[#This Row],[Hotel component]]))-CityName[[#This Row],[Column1]]</f>
        <v>51.441741357234314</v>
      </c>
      <c r="F6" s="45">
        <v>127.01664532650449</v>
      </c>
      <c r="G6" s="43">
        <f>(CityName[[#This Row],[Perdiem]]-(CityName[[#This Row],[Perdiem]]*CityName[[#This Row],[Hotel component]]))*10%</f>
        <v>5.7157490396927022</v>
      </c>
      <c r="H6" s="46">
        <v>0.55000000000000004</v>
      </c>
      <c r="J6" t="s">
        <v>30</v>
      </c>
      <c r="K6">
        <v>25</v>
      </c>
      <c r="M6" t="s">
        <v>65</v>
      </c>
      <c r="N6" s="42">
        <v>0</v>
      </c>
      <c r="O6" t="s">
        <v>66</v>
      </c>
      <c r="P6" t="s">
        <v>66</v>
      </c>
      <c r="Q6" t="s">
        <v>51</v>
      </c>
    </row>
    <row r="7" spans="1:17" ht="22" customHeight="1" x14ac:dyDescent="0.35">
      <c r="A7" t="s">
        <v>67</v>
      </c>
      <c r="B7" t="s">
        <v>68</v>
      </c>
      <c r="D7" t="s">
        <v>40</v>
      </c>
      <c r="E7" s="43">
        <f>(CityName[[#This Row],[Perdiem]]-(CityName[[#This Row],[Perdiem]]*CityName[[#This Row],[Hotel component]]))-CityName[[#This Row],[Column1]]</f>
        <v>26.33623559539053</v>
      </c>
      <c r="F7" s="45">
        <v>75.032010243277853</v>
      </c>
      <c r="G7" s="43">
        <f>(CityName[[#This Row],[Perdiem]]-(CityName[[#This Row],[Perdiem]]*CityName[[#This Row],[Hotel component]]))*10%</f>
        <v>2.9262483994878368</v>
      </c>
      <c r="H7" s="46">
        <v>0.61</v>
      </c>
      <c r="M7" t="s">
        <v>69</v>
      </c>
      <c r="N7" s="42">
        <f>M1-11%</f>
        <v>0.89</v>
      </c>
      <c r="O7" t="s">
        <v>70</v>
      </c>
      <c r="P7" t="s">
        <v>70</v>
      </c>
      <c r="Q7" t="s">
        <v>71</v>
      </c>
    </row>
    <row r="8" spans="1:17" ht="22" customHeight="1" x14ac:dyDescent="0.35">
      <c r="A8" t="s">
        <v>72</v>
      </c>
      <c r="B8" t="s">
        <v>73</v>
      </c>
      <c r="D8" t="s">
        <v>74</v>
      </c>
      <c r="E8" s="43">
        <f>(CityName[[#This Row],[Perdiem]]-(CityName[[#This Row],[Perdiem]]*CityName[[#This Row],[Hotel component]]))-CityName[[#This Row],[Column1]]</f>
        <v>63.942637644046094</v>
      </c>
      <c r="F8" s="45">
        <v>208.96286811779768</v>
      </c>
      <c r="G8" s="43">
        <f>(CityName[[#This Row],[Perdiem]]-(CityName[[#This Row],[Perdiem]]*CityName[[#This Row],[Hotel component]]))*10%</f>
        <v>7.1047375160051223</v>
      </c>
      <c r="H8" s="46">
        <v>0.66</v>
      </c>
      <c r="M8" t="s">
        <v>75</v>
      </c>
      <c r="N8" s="42">
        <f>M1-22%</f>
        <v>0.78</v>
      </c>
      <c r="O8" t="s">
        <v>76</v>
      </c>
      <c r="P8" t="s">
        <v>76</v>
      </c>
      <c r="Q8" t="s">
        <v>76</v>
      </c>
    </row>
    <row r="9" spans="1:17" ht="22" customHeight="1" x14ac:dyDescent="0.35">
      <c r="A9" t="s">
        <v>77</v>
      </c>
      <c r="B9" t="s">
        <v>78</v>
      </c>
      <c r="D9" t="s">
        <v>79</v>
      </c>
      <c r="E9" s="43">
        <f>(CityName[[#This Row],[Perdiem]]-(CityName[[#This Row],[Perdiem]]*CityName[[#This Row],[Hotel component]]))-CityName[[#This Row],[Column1]]</f>
        <v>90.666069142125508</v>
      </c>
      <c r="F9" s="45">
        <v>324.96798975672215</v>
      </c>
      <c r="G9" s="43">
        <f>(CityName[[#This Row],[Perdiem]]-(CityName[[#This Row],[Perdiem]]*CityName[[#This Row],[Hotel component]]))*10%</f>
        <v>10.07400768245839</v>
      </c>
      <c r="H9" s="46">
        <v>0.69</v>
      </c>
      <c r="M9" t="s">
        <v>80</v>
      </c>
      <c r="N9" s="42">
        <f>M1-22%</f>
        <v>0.78</v>
      </c>
      <c r="O9" t="s">
        <v>81</v>
      </c>
      <c r="P9" t="s">
        <v>81</v>
      </c>
      <c r="Q9" t="s">
        <v>29</v>
      </c>
    </row>
    <row r="10" spans="1:17" ht="22" customHeight="1" x14ac:dyDescent="0.35">
      <c r="A10" t="s">
        <v>82</v>
      </c>
      <c r="B10" t="s">
        <v>83</v>
      </c>
      <c r="D10" t="s">
        <v>84</v>
      </c>
      <c r="E10" s="43">
        <f>(CityName[[#This Row],[Perdiem]]-(CityName[[#This Row],[Perdiem]]*CityName[[#This Row],[Hotel component]]))-CityName[[#This Row],[Column1]]</f>
        <v>31.777720870678621</v>
      </c>
      <c r="F10" s="45">
        <v>98.07938540332907</v>
      </c>
      <c r="G10" s="43">
        <f>(CityName[[#This Row],[Perdiem]]-(CityName[[#This Row],[Perdiem]]*CityName[[#This Row],[Hotel component]]))*10%</f>
        <v>3.5308578745198469</v>
      </c>
      <c r="H10" s="46">
        <v>0.64</v>
      </c>
      <c r="M10" t="s">
        <v>32</v>
      </c>
      <c r="N10" s="42">
        <f>M1-33%</f>
        <v>0.66999999999999993</v>
      </c>
      <c r="O10" t="s">
        <v>85</v>
      </c>
      <c r="P10" t="s">
        <v>85</v>
      </c>
      <c r="Q10" t="s">
        <v>71</v>
      </c>
    </row>
    <row r="11" spans="1:17" ht="22" customHeight="1" x14ac:dyDescent="0.35">
      <c r="A11" t="s">
        <v>86</v>
      </c>
      <c r="B11" t="s">
        <v>87</v>
      </c>
      <c r="D11" t="s">
        <v>51</v>
      </c>
      <c r="E11" s="43">
        <f>(CityName[[#This Row],[Perdiem]]-(CityName[[#This Row],[Perdiem]]*CityName[[#This Row],[Hotel component]]))-CityName[[#This Row],[Column1]]</f>
        <v>35.91241997439181</v>
      </c>
      <c r="F11" s="45">
        <v>95.006402048655573</v>
      </c>
      <c r="G11" s="43">
        <f>(CityName[[#This Row],[Perdiem]]-(CityName[[#This Row],[Perdiem]]*CityName[[#This Row],[Hotel component]]))*10%</f>
        <v>3.9902688860435349</v>
      </c>
      <c r="H11" s="46">
        <v>0.57999999999999996</v>
      </c>
      <c r="M11" t="s">
        <v>88</v>
      </c>
      <c r="N11" s="42">
        <f>M1-55%</f>
        <v>0.44999999999999996</v>
      </c>
      <c r="O11" t="s">
        <v>89</v>
      </c>
      <c r="P11" t="s">
        <v>89</v>
      </c>
      <c r="Q11" t="s">
        <v>90</v>
      </c>
    </row>
    <row r="12" spans="1:17" ht="22" customHeight="1" x14ac:dyDescent="0.35">
      <c r="A12" t="s">
        <v>91</v>
      </c>
      <c r="D12" t="s">
        <v>92</v>
      </c>
      <c r="E12" s="43">
        <f>(CityName[[#This Row],[Perdiem]]-(CityName[[#This Row],[Perdiem]]*CityName[[#This Row],[Hotel component]]))-CityName[[#This Row],[Column1]]</f>
        <v>88.206914212548014</v>
      </c>
      <c r="F12" s="45">
        <v>213.06017925736236</v>
      </c>
      <c r="G12" s="43">
        <f>(CityName[[#This Row],[Perdiem]]-(CityName[[#This Row],[Perdiem]]*CityName[[#This Row],[Hotel component]]))*10%</f>
        <v>9.8007682458386682</v>
      </c>
      <c r="H12" s="46">
        <v>0.54</v>
      </c>
      <c r="M12" t="s">
        <v>93</v>
      </c>
      <c r="N12" s="42">
        <v>1</v>
      </c>
      <c r="O12" t="s">
        <v>94</v>
      </c>
      <c r="P12" t="s">
        <v>94</v>
      </c>
      <c r="Q12" t="s">
        <v>95</v>
      </c>
    </row>
    <row r="13" spans="1:17" ht="22" customHeight="1" x14ac:dyDescent="0.35">
      <c r="A13" t="s">
        <v>96</v>
      </c>
      <c r="D13" t="s">
        <v>97</v>
      </c>
      <c r="E13" s="43">
        <f>(CityName[[#This Row],[Perdiem]]-(CityName[[#This Row],[Perdiem]]*CityName[[#This Row],[Hotel component]]))-CityName[[#This Row],[Column1]]</f>
        <v>94.455057618437905</v>
      </c>
      <c r="F13" s="45">
        <v>184.12291933418695</v>
      </c>
      <c r="G13" s="43">
        <f>(CityName[[#This Row],[Perdiem]]-(CityName[[#This Row],[Perdiem]]*CityName[[#This Row],[Hotel component]]))*10%</f>
        <v>10.495006402048658</v>
      </c>
      <c r="H13" s="46">
        <v>0.43</v>
      </c>
      <c r="M13" t="s">
        <v>98</v>
      </c>
      <c r="N13" s="42">
        <v>1</v>
      </c>
      <c r="O13" t="s">
        <v>99</v>
      </c>
      <c r="P13" t="s">
        <v>99</v>
      </c>
      <c r="Q13" t="s">
        <v>100</v>
      </c>
    </row>
    <row r="14" spans="1:17" ht="22" customHeight="1" x14ac:dyDescent="0.35">
      <c r="A14" t="s">
        <v>101</v>
      </c>
      <c r="D14" t="s">
        <v>102</v>
      </c>
      <c r="E14" s="43">
        <f>(CityName[[#This Row],[Perdiem]]-(CityName[[#This Row],[Perdiem]]*CityName[[#This Row],[Hotel component]]))-CityName[[#This Row],[Column1]]</f>
        <v>31.874519846350836</v>
      </c>
      <c r="F14" s="45">
        <v>118.05377720870679</v>
      </c>
      <c r="G14" s="43">
        <f>(CityName[[#This Row],[Perdiem]]-(CityName[[#This Row],[Perdiem]]*CityName[[#This Row],[Hotel component]]))*10%</f>
        <v>3.5416133162612042</v>
      </c>
      <c r="H14" s="46">
        <v>0.7</v>
      </c>
      <c r="M14" t="s">
        <v>103</v>
      </c>
      <c r="N14" s="42">
        <v>1</v>
      </c>
      <c r="O14" t="s">
        <v>104</v>
      </c>
      <c r="P14" t="s">
        <v>104</v>
      </c>
      <c r="Q14" t="s">
        <v>105</v>
      </c>
    </row>
    <row r="15" spans="1:17" ht="22" customHeight="1" x14ac:dyDescent="0.35">
      <c r="A15" t="s">
        <v>106</v>
      </c>
      <c r="D15" t="s">
        <v>107</v>
      </c>
      <c r="E15" s="43">
        <f>(CityName[[#This Row],[Perdiem]]-(CityName[[#This Row],[Perdiem]]*CityName[[#This Row],[Hotel component]]))-CityName[[#This Row],[Column1]]</f>
        <v>26.78104993597951</v>
      </c>
      <c r="F15" s="45">
        <v>85.019206145966706</v>
      </c>
      <c r="G15" s="43">
        <f>(CityName[[#This Row],[Perdiem]]-(CityName[[#This Row],[Perdiem]]*CityName[[#This Row],[Hotel component]]))*10%</f>
        <v>2.9756722151088351</v>
      </c>
      <c r="H15" s="46">
        <v>0.65</v>
      </c>
      <c r="N15" s="42"/>
      <c r="O15" t="s">
        <v>108</v>
      </c>
      <c r="P15" t="s">
        <v>108</v>
      </c>
      <c r="Q15" t="s">
        <v>109</v>
      </c>
    </row>
    <row r="16" spans="1:17" ht="22" customHeight="1" x14ac:dyDescent="0.35">
      <c r="A16" t="s">
        <v>110</v>
      </c>
      <c r="D16" t="s">
        <v>111</v>
      </c>
      <c r="E16" s="43">
        <f>(CityName[[#This Row],[Perdiem]]-(CityName[[#This Row],[Perdiem]]*CityName[[#This Row],[Hotel component]]))-CityName[[#This Row],[Column1]]</f>
        <v>30.572343149807935</v>
      </c>
      <c r="F16" s="45">
        <v>97.0550576184379</v>
      </c>
      <c r="G16" s="43">
        <f>(CityName[[#This Row],[Perdiem]]-(CityName[[#This Row],[Perdiem]]*CityName[[#This Row],[Hotel component]]))*10%</f>
        <v>3.3969270166453267</v>
      </c>
      <c r="H16" s="46">
        <v>0.65</v>
      </c>
      <c r="O16" t="s">
        <v>112</v>
      </c>
      <c r="P16" t="s">
        <v>112</v>
      </c>
      <c r="Q16" t="s">
        <v>29</v>
      </c>
    </row>
    <row r="17" spans="4:17" ht="22" customHeight="1" x14ac:dyDescent="0.35">
      <c r="D17" t="s">
        <v>113</v>
      </c>
      <c r="E17" s="43">
        <f>(CityName[[#This Row],[Perdiem]]-(CityName[[#This Row],[Perdiem]]*CityName[[#This Row],[Hotel component]]))-CityName[[#This Row],[Column1]]</f>
        <v>61.919078104993595</v>
      </c>
      <c r="F17" s="45">
        <v>181.04993597951344</v>
      </c>
      <c r="G17" s="43">
        <f>(CityName[[#This Row],[Perdiem]]-(CityName[[#This Row],[Perdiem]]*CityName[[#This Row],[Hotel component]]))*10%</f>
        <v>6.8798975672215112</v>
      </c>
      <c r="H17" s="46">
        <v>0.62</v>
      </c>
      <c r="O17" t="s">
        <v>114</v>
      </c>
      <c r="P17" t="s">
        <v>114</v>
      </c>
      <c r="Q17" t="s">
        <v>71</v>
      </c>
    </row>
    <row r="18" spans="4:17" ht="22" customHeight="1" x14ac:dyDescent="0.35">
      <c r="D18" t="s">
        <v>115</v>
      </c>
      <c r="E18" s="43">
        <f>(CityName[[#This Row],[Perdiem]]-(CityName[[#This Row],[Perdiem]]*CityName[[#This Row],[Hotel component]]))-CityName[[#This Row],[Column1]]</f>
        <v>39.754417413572341</v>
      </c>
      <c r="F18" s="45">
        <v>93.982074263764403</v>
      </c>
      <c r="G18" s="43">
        <f>(CityName[[#This Row],[Perdiem]]-(CityName[[#This Row],[Perdiem]]*CityName[[#This Row],[Hotel component]]))*10%</f>
        <v>4.4171574903969271</v>
      </c>
      <c r="H18" s="46">
        <v>0.53</v>
      </c>
      <c r="O18" t="s">
        <v>116</v>
      </c>
      <c r="P18" t="s">
        <v>116</v>
      </c>
      <c r="Q18" t="s">
        <v>55</v>
      </c>
    </row>
    <row r="19" spans="4:17" ht="22" customHeight="1" x14ac:dyDescent="0.35">
      <c r="D19" t="s">
        <v>30</v>
      </c>
      <c r="E19" s="43">
        <f>(CityName[[#This Row],[Perdiem]]-(CityName[[#This Row],[Perdiem]]*CityName[[#This Row],[Hotel component]]))-CityName[[#This Row],[Column1]]</f>
        <v>49.035595390524968</v>
      </c>
      <c r="F19" s="45">
        <v>100.89628681177977</v>
      </c>
      <c r="G19" s="43">
        <f>(CityName[[#This Row],[Perdiem]]-(CityName[[#This Row],[Perdiem]]*CityName[[#This Row],[Hotel component]]))*10%</f>
        <v>5.4483994878361077</v>
      </c>
      <c r="H19" s="46">
        <v>0.46</v>
      </c>
      <c r="O19" t="s">
        <v>117</v>
      </c>
      <c r="P19" t="s">
        <v>117</v>
      </c>
      <c r="Q19" t="s">
        <v>51</v>
      </c>
    </row>
    <row r="20" spans="4:17" ht="22" customHeight="1" x14ac:dyDescent="0.35">
      <c r="D20" t="s">
        <v>118</v>
      </c>
      <c r="E20" s="43">
        <f>(CityName[[#This Row],[Perdiem]]-(CityName[[#This Row],[Perdiem]]*CityName[[#This Row],[Hotel component]]))-CityName[[#This Row],[Column1]]</f>
        <v>67.833034571062754</v>
      </c>
      <c r="F20" s="45">
        <v>144.94238156209988</v>
      </c>
      <c r="G20" s="43">
        <f>(CityName[[#This Row],[Perdiem]]-(CityName[[#This Row],[Perdiem]]*CityName[[#This Row],[Hotel component]]))*10%</f>
        <v>7.5370038412291951</v>
      </c>
      <c r="H20" s="46">
        <v>0.48</v>
      </c>
      <c r="N20" t="s">
        <v>119</v>
      </c>
      <c r="O20" t="s">
        <v>119</v>
      </c>
      <c r="P20" t="s">
        <v>51</v>
      </c>
    </row>
    <row r="21" spans="4:17" ht="22" customHeight="1" x14ac:dyDescent="0.35">
      <c r="D21" t="s">
        <v>120</v>
      </c>
      <c r="E21" s="43">
        <f>(CityName[[#This Row],[Perdiem]]-(CityName[[#This Row],[Perdiem]]*CityName[[#This Row],[Hotel component]]))-CityName[[#This Row],[Column1]]</f>
        <v>31.079385403329074</v>
      </c>
      <c r="F21" s="45">
        <v>119.07810499359795</v>
      </c>
      <c r="G21" s="43">
        <f>(CityName[[#This Row],[Perdiem]]-(CityName[[#This Row],[Perdiem]]*CityName[[#This Row],[Hotel component]]))*10%</f>
        <v>3.4532650448143416</v>
      </c>
      <c r="H21" s="46">
        <v>0.71</v>
      </c>
      <c r="N21" t="s">
        <v>121</v>
      </c>
      <c r="O21" t="s">
        <v>121</v>
      </c>
      <c r="P21" t="s">
        <v>62</v>
      </c>
    </row>
    <row r="22" spans="4:17" ht="22" customHeight="1" x14ac:dyDescent="0.35">
      <c r="D22" t="s">
        <v>122</v>
      </c>
      <c r="E22" s="43">
        <f>(CityName[[#This Row],[Perdiem]]-(CityName[[#This Row],[Perdiem]]*CityName[[#This Row],[Hotel component]]))-CityName[[#This Row],[Column1]]</f>
        <v>91.37362355953907</v>
      </c>
      <c r="F22" s="45">
        <v>236.10755441741358</v>
      </c>
      <c r="G22" s="43">
        <f>(CityName[[#This Row],[Perdiem]]-(CityName[[#This Row],[Perdiem]]*CityName[[#This Row],[Hotel component]]))*10%</f>
        <v>10.152624839948786</v>
      </c>
      <c r="H22" s="46">
        <v>0.56999999999999995</v>
      </c>
      <c r="N22" t="s">
        <v>123</v>
      </c>
      <c r="O22" t="s">
        <v>123</v>
      </c>
      <c r="P22" t="s">
        <v>71</v>
      </c>
    </row>
    <row r="23" spans="4:17" ht="22" customHeight="1" x14ac:dyDescent="0.35">
      <c r="D23" t="s">
        <v>124</v>
      </c>
      <c r="E23" s="43">
        <f>(CityName[[#This Row],[Perdiem]]-(CityName[[#This Row],[Perdiem]]*CityName[[#This Row],[Hotel component]]))-CityName[[#This Row],[Column1]]</f>
        <v>78.909603072983359</v>
      </c>
      <c r="F23" s="45">
        <v>257.87451984635084</v>
      </c>
      <c r="G23" s="43">
        <f>(CityName[[#This Row],[Perdiem]]-(CityName[[#This Row],[Perdiem]]*CityName[[#This Row],[Hotel component]]))*10%</f>
        <v>8.7677336747759291</v>
      </c>
      <c r="H23" s="46">
        <v>0.66</v>
      </c>
      <c r="N23" t="s">
        <v>125</v>
      </c>
      <c r="O23" t="s">
        <v>125</v>
      </c>
      <c r="P23" t="s">
        <v>100</v>
      </c>
    </row>
    <row r="24" spans="4:17" ht="22" customHeight="1" x14ac:dyDescent="0.35">
      <c r="D24" t="s">
        <v>126</v>
      </c>
      <c r="E24" s="43">
        <f>(CityName[[#This Row],[Perdiem]]-(CityName[[#This Row],[Perdiem]]*CityName[[#This Row],[Hotel component]]))-CityName[[#This Row],[Column1]]</f>
        <v>44.596670934699091</v>
      </c>
      <c r="F24" s="45">
        <v>110.11523687580025</v>
      </c>
      <c r="G24" s="43">
        <f>(CityName[[#This Row],[Perdiem]]-(CityName[[#This Row],[Perdiem]]*CityName[[#This Row],[Hotel component]]))*10%</f>
        <v>4.9551856594110113</v>
      </c>
      <c r="H24" s="46">
        <v>0.55000000000000004</v>
      </c>
      <c r="N24" t="s">
        <v>127</v>
      </c>
      <c r="O24" t="s">
        <v>127</v>
      </c>
      <c r="P24" t="s">
        <v>95</v>
      </c>
    </row>
    <row r="25" spans="4:17" ht="22" customHeight="1" x14ac:dyDescent="0.35">
      <c r="D25" t="s">
        <v>128</v>
      </c>
      <c r="E25" s="43">
        <f>(CityName[[#This Row],[Perdiem]]-(CityName[[#This Row],[Perdiem]]*CityName[[#This Row],[Hotel component]]))-CityName[[#This Row],[Column1]]</f>
        <v>88.723175416133159</v>
      </c>
      <c r="F25" s="45">
        <v>308.06658130601795</v>
      </c>
      <c r="G25" s="43">
        <f>(CityName[[#This Row],[Perdiem]]-(CityName[[#This Row],[Perdiem]]*CityName[[#This Row],[Hotel component]]))*10%</f>
        <v>9.8581306017925741</v>
      </c>
      <c r="H25" s="46">
        <v>0.68</v>
      </c>
      <c r="N25" t="s">
        <v>129</v>
      </c>
      <c r="O25" t="s">
        <v>129</v>
      </c>
      <c r="P25" t="s">
        <v>29</v>
      </c>
    </row>
    <row r="26" spans="4:17" ht="22" customHeight="1" x14ac:dyDescent="0.35">
      <c r="D26" t="s">
        <v>130</v>
      </c>
      <c r="E26" s="43">
        <f>(CityName[[#This Row],[Perdiem]]-(CityName[[#This Row],[Perdiem]]*CityName[[#This Row],[Hotel component]]))-CityName[[#This Row],[Column1]]</f>
        <v>53.336235595390526</v>
      </c>
      <c r="F26" s="45">
        <v>103.96927016645327</v>
      </c>
      <c r="G26" s="43">
        <f>(CityName[[#This Row],[Perdiem]]-(CityName[[#This Row],[Perdiem]]*CityName[[#This Row],[Hotel component]]))*10%</f>
        <v>5.9262483994878368</v>
      </c>
      <c r="H26" s="46">
        <v>0.43</v>
      </c>
      <c r="N26" t="s">
        <v>131</v>
      </c>
      <c r="O26" t="s">
        <v>131</v>
      </c>
      <c r="P26" t="s">
        <v>29</v>
      </c>
    </row>
    <row r="27" spans="4:17" ht="22" customHeight="1" x14ac:dyDescent="0.35">
      <c r="D27" t="s">
        <v>132</v>
      </c>
      <c r="E27" s="43">
        <f>(CityName[[#This Row],[Perdiem]]-(CityName[[#This Row],[Perdiem]]*CityName[[#This Row],[Hotel component]]))-CityName[[#This Row],[Column1]]</f>
        <v>45.716773367477586</v>
      </c>
      <c r="F27" s="45">
        <v>141.10115236875799</v>
      </c>
      <c r="G27" s="43">
        <f>(CityName[[#This Row],[Perdiem]]-(CityName[[#This Row],[Perdiem]]*CityName[[#This Row],[Hotel component]]))*10%</f>
        <v>5.079641485275288</v>
      </c>
      <c r="H27" s="46">
        <v>0.64</v>
      </c>
      <c r="N27" t="s">
        <v>133</v>
      </c>
      <c r="O27" t="s">
        <v>133</v>
      </c>
      <c r="P27" t="s">
        <v>29</v>
      </c>
    </row>
    <row r="28" spans="4:17" ht="22" customHeight="1" x14ac:dyDescent="0.35">
      <c r="D28" t="s">
        <v>134</v>
      </c>
      <c r="E28" s="43">
        <f>(CityName[[#This Row],[Perdiem]]-(CityName[[#This Row],[Perdiem]]*CityName[[#This Row],[Hotel component]]))-CityName[[#This Row],[Column1]]</f>
        <v>40.187708066581301</v>
      </c>
      <c r="F28" s="45">
        <v>95.006402048655573</v>
      </c>
      <c r="G28" s="43">
        <f>(CityName[[#This Row],[Perdiem]]-(CityName[[#This Row],[Perdiem]]*CityName[[#This Row],[Hotel component]]))*10%</f>
        <v>4.4653008962868119</v>
      </c>
      <c r="H28" s="46">
        <v>0.53</v>
      </c>
      <c r="N28" t="s">
        <v>135</v>
      </c>
      <c r="O28" t="s">
        <v>135</v>
      </c>
      <c r="P28" t="s">
        <v>76</v>
      </c>
    </row>
    <row r="29" spans="4:17" ht="22" customHeight="1" x14ac:dyDescent="0.35">
      <c r="D29" t="s">
        <v>136</v>
      </c>
      <c r="E29" s="43">
        <f>(CityName[[#This Row],[Perdiem]]-(CityName[[#This Row],[Perdiem]]*CityName[[#This Row],[Hotel component]]))-CityName[[#This Row],[Column1]]</f>
        <v>48.192061459667087</v>
      </c>
      <c r="F29" s="45">
        <v>104.99359795134443</v>
      </c>
      <c r="G29" s="43">
        <f>(CityName[[#This Row],[Perdiem]]-(CityName[[#This Row],[Perdiem]]*CityName[[#This Row],[Hotel component]]))*10%</f>
        <v>5.3546734955185658</v>
      </c>
      <c r="H29" s="46">
        <v>0.49</v>
      </c>
      <c r="N29" t="s">
        <v>137</v>
      </c>
      <c r="O29" t="s">
        <v>137</v>
      </c>
      <c r="P29" t="s">
        <v>29</v>
      </c>
    </row>
    <row r="30" spans="4:17" ht="22" customHeight="1" x14ac:dyDescent="0.35">
      <c r="D30" t="s">
        <v>138</v>
      </c>
      <c r="E30" s="43">
        <f>(CityName[[#This Row],[Perdiem]]-(CityName[[#This Row],[Perdiem]]*CityName[[#This Row],[Hotel component]]))-CityName[[#This Row],[Column1]]</f>
        <v>37.064788732394369</v>
      </c>
      <c r="F30" s="45">
        <v>121.12676056338029</v>
      </c>
      <c r="G30" s="43">
        <f>(CityName[[#This Row],[Perdiem]]-(CityName[[#This Row],[Perdiem]]*CityName[[#This Row],[Hotel component]]))*10%</f>
        <v>4.1183098591549294</v>
      </c>
      <c r="H30" s="46">
        <v>0.66</v>
      </c>
      <c r="N30" t="s">
        <v>139</v>
      </c>
      <c r="O30" t="s">
        <v>139</v>
      </c>
      <c r="P30" t="s">
        <v>105</v>
      </c>
    </row>
    <row r="31" spans="4:17" ht="22" customHeight="1" x14ac:dyDescent="0.35">
      <c r="D31" t="s">
        <v>140</v>
      </c>
      <c r="E31" s="43">
        <f>(CityName[[#This Row],[Perdiem]]-(CityName[[#This Row],[Perdiem]]*CityName[[#This Row],[Hotel component]]))-CityName[[#This Row],[Column1]]</f>
        <v>24.338028169014077</v>
      </c>
      <c r="F31" s="45">
        <v>81.946222791293209</v>
      </c>
      <c r="G31" s="43">
        <f>(CityName[[#This Row],[Perdiem]]-(CityName[[#This Row],[Perdiem]]*CityName[[#This Row],[Hotel component]]))*10%</f>
        <v>2.7042253521126756</v>
      </c>
      <c r="H31" s="46">
        <v>0.67</v>
      </c>
      <c r="N31" t="s">
        <v>141</v>
      </c>
      <c r="O31" t="s">
        <v>141</v>
      </c>
      <c r="P31" t="s">
        <v>29</v>
      </c>
    </row>
    <row r="32" spans="4:17" ht="22" customHeight="1" x14ac:dyDescent="0.35">
      <c r="D32" t="s">
        <v>142</v>
      </c>
      <c r="E32" s="43">
        <f>(CityName[[#This Row],[Perdiem]]-(CityName[[#This Row],[Perdiem]]*CityName[[#This Row],[Hotel component]]))-CityName[[#This Row],[Column1]]</f>
        <v>59.116517285531359</v>
      </c>
      <c r="F32" s="45">
        <v>145.96670934699102</v>
      </c>
      <c r="G32" s="43">
        <f>(CityName[[#This Row],[Perdiem]]-(CityName[[#This Row],[Perdiem]]*CityName[[#This Row],[Hotel component]]))*10%</f>
        <v>6.5685019206145956</v>
      </c>
      <c r="H32" s="46">
        <v>0.55000000000000004</v>
      </c>
      <c r="N32" t="s">
        <v>58</v>
      </c>
      <c r="O32" t="s">
        <v>58</v>
      </c>
      <c r="P32" t="s">
        <v>109</v>
      </c>
    </row>
    <row r="33" spans="4:16" ht="22" customHeight="1" x14ac:dyDescent="0.35">
      <c r="D33" t="s">
        <v>29</v>
      </c>
      <c r="E33" s="43">
        <f>(CityName[[#This Row],[Perdiem]]-(CityName[[#This Row],[Perdiem]]*CityName[[#This Row],[Hotel component]]))-CityName[[#This Row],[Column1]]</f>
        <v>42.785147247119077</v>
      </c>
      <c r="F33" s="45">
        <v>121.89500640204865</v>
      </c>
      <c r="G33" s="43">
        <f>(CityName[[#This Row],[Perdiem]]-(CityName[[#This Row],[Perdiem]]*CityName[[#This Row],[Hotel component]]))*10%</f>
        <v>4.7539052496798977</v>
      </c>
      <c r="H33" s="46">
        <v>0.61</v>
      </c>
      <c r="N33" t="s">
        <v>143</v>
      </c>
      <c r="O33" t="s">
        <v>143</v>
      </c>
      <c r="P33" t="s">
        <v>105</v>
      </c>
    </row>
    <row r="34" spans="4:16" ht="22" customHeight="1" x14ac:dyDescent="0.35">
      <c r="D34" t="s">
        <v>144</v>
      </c>
      <c r="E34" s="43">
        <f>(CityName[[#This Row],[Perdiem]]-(CityName[[#This Row],[Perdiem]]*CityName[[#This Row],[Hotel component]]))-CityName[[#This Row],[Column1]]</f>
        <v>102.18284250960308</v>
      </c>
      <c r="F34" s="45">
        <v>333.93085787451986</v>
      </c>
      <c r="G34" s="43">
        <f>(CityName[[#This Row],[Perdiem]]-(CityName[[#This Row],[Perdiem]]*CityName[[#This Row],[Hotel component]]))*10%</f>
        <v>11.353649167733677</v>
      </c>
      <c r="H34" s="46">
        <v>0.66</v>
      </c>
      <c r="N34" t="s">
        <v>145</v>
      </c>
      <c r="O34" t="s">
        <v>145</v>
      </c>
      <c r="P34" t="s">
        <v>30</v>
      </c>
    </row>
    <row r="35" spans="4:16" ht="22" customHeight="1" x14ac:dyDescent="0.35">
      <c r="D35" t="s">
        <v>146</v>
      </c>
      <c r="E35" s="43">
        <f>(CityName[[#This Row],[Perdiem]]-(CityName[[#This Row],[Perdiem]]*CityName[[#This Row],[Hotel component]]))-CityName[[#This Row],[Column1]]</f>
        <v>81.532394366197181</v>
      </c>
      <c r="F35" s="45">
        <v>205.8898847631242</v>
      </c>
      <c r="G35" s="43">
        <f>(CityName[[#This Row],[Perdiem]]-(CityName[[#This Row],[Perdiem]]*CityName[[#This Row],[Hotel component]]))*10%</f>
        <v>9.0591549295774652</v>
      </c>
      <c r="H35" s="46">
        <v>0.56000000000000005</v>
      </c>
      <c r="N35" t="s">
        <v>147</v>
      </c>
      <c r="O35" t="s">
        <v>147</v>
      </c>
      <c r="P35" t="s">
        <v>90</v>
      </c>
    </row>
    <row r="36" spans="4:16" ht="22" customHeight="1" x14ac:dyDescent="0.35">
      <c r="E36" s="43"/>
      <c r="F36" s="45"/>
      <c r="G36" s="45">
        <f>(CityName[[#This Row],[Perdiem]]-(CityName[[#This Row],[Perdiem]]*CityName[[#This Row],[Hotel component]]))*10%</f>
        <v>0</v>
      </c>
      <c r="H36" s="46"/>
      <c r="N36" t="s">
        <v>148</v>
      </c>
      <c r="O36" t="s">
        <v>148</v>
      </c>
      <c r="P36" t="s">
        <v>29</v>
      </c>
    </row>
    <row r="37" spans="4:16" ht="22" customHeight="1" x14ac:dyDescent="0.35">
      <c r="N37" t="s">
        <v>149</v>
      </c>
      <c r="O37" t="s">
        <v>149</v>
      </c>
      <c r="P37" t="s">
        <v>105</v>
      </c>
    </row>
    <row r="38" spans="4:16" ht="22" customHeight="1" x14ac:dyDescent="0.35">
      <c r="N38" t="s">
        <v>150</v>
      </c>
      <c r="O38" t="s">
        <v>150</v>
      </c>
      <c r="P38" t="s">
        <v>151</v>
      </c>
    </row>
    <row r="39" spans="4:16" ht="22" customHeight="1" x14ac:dyDescent="0.35">
      <c r="N39" t="s">
        <v>152</v>
      </c>
      <c r="O39" t="s">
        <v>152</v>
      </c>
      <c r="P39" t="s">
        <v>62</v>
      </c>
    </row>
    <row r="40" spans="4:16" ht="22" customHeight="1" x14ac:dyDescent="0.35">
      <c r="N40" t="s">
        <v>153</v>
      </c>
      <c r="O40" t="s">
        <v>153</v>
      </c>
      <c r="P40" t="s">
        <v>55</v>
      </c>
    </row>
    <row r="41" spans="4:16" ht="22" customHeight="1" x14ac:dyDescent="0.35">
      <c r="N41" t="s">
        <v>154</v>
      </c>
      <c r="O41" t="s">
        <v>154</v>
      </c>
      <c r="P41" t="s">
        <v>76</v>
      </c>
    </row>
    <row r="42" spans="4:16" ht="22" customHeight="1" x14ac:dyDescent="0.35">
      <c r="N42" t="s">
        <v>155</v>
      </c>
      <c r="O42" t="s">
        <v>155</v>
      </c>
      <c r="P42" t="s">
        <v>151</v>
      </c>
    </row>
    <row r="43" spans="4:16" ht="22" customHeight="1" x14ac:dyDescent="0.35">
      <c r="N43" t="s">
        <v>156</v>
      </c>
      <c r="O43" t="s">
        <v>156</v>
      </c>
      <c r="P43" t="s">
        <v>105</v>
      </c>
    </row>
    <row r="44" spans="4:16" ht="22" customHeight="1" x14ac:dyDescent="0.35">
      <c r="N44" t="s">
        <v>157</v>
      </c>
      <c r="O44" t="s">
        <v>157</v>
      </c>
      <c r="P44" t="s">
        <v>71</v>
      </c>
    </row>
    <row r="45" spans="4:16" ht="22" customHeight="1" x14ac:dyDescent="0.35">
      <c r="N45" t="s">
        <v>158</v>
      </c>
      <c r="O45" t="s">
        <v>158</v>
      </c>
      <c r="P45" t="s">
        <v>29</v>
      </c>
    </row>
    <row r="46" spans="4:16" ht="22" customHeight="1" x14ac:dyDescent="0.35">
      <c r="N46" t="s">
        <v>159</v>
      </c>
      <c r="O46" t="s">
        <v>159</v>
      </c>
      <c r="P46" t="s">
        <v>160</v>
      </c>
    </row>
    <row r="47" spans="4:16" ht="22" customHeight="1" x14ac:dyDescent="0.35">
      <c r="N47" t="s">
        <v>161</v>
      </c>
      <c r="O47" t="s">
        <v>161</v>
      </c>
      <c r="P47" t="s">
        <v>29</v>
      </c>
    </row>
    <row r="48" spans="4:16" ht="22" customHeight="1" x14ac:dyDescent="0.35">
      <c r="N48" t="s">
        <v>162</v>
      </c>
      <c r="O48" t="s">
        <v>162</v>
      </c>
      <c r="P48" t="s">
        <v>29</v>
      </c>
    </row>
    <row r="49" spans="14:16" ht="22" customHeight="1" x14ac:dyDescent="0.35">
      <c r="N49" t="s">
        <v>163</v>
      </c>
      <c r="O49" t="s">
        <v>163</v>
      </c>
      <c r="P49" t="s">
        <v>29</v>
      </c>
    </row>
    <row r="50" spans="14:16" ht="22" customHeight="1" x14ac:dyDescent="0.35">
      <c r="N50" t="s">
        <v>164</v>
      </c>
      <c r="O50" t="s">
        <v>164</v>
      </c>
      <c r="P50" t="s">
        <v>71</v>
      </c>
    </row>
    <row r="51" spans="14:16" ht="22" customHeight="1" x14ac:dyDescent="0.35">
      <c r="N51" t="s">
        <v>165</v>
      </c>
      <c r="O51" t="s">
        <v>165</v>
      </c>
      <c r="P51" t="s">
        <v>166</v>
      </c>
    </row>
    <row r="52" spans="14:16" ht="22" customHeight="1" x14ac:dyDescent="0.35">
      <c r="N52" t="s">
        <v>167</v>
      </c>
      <c r="O52" t="s">
        <v>167</v>
      </c>
      <c r="P52" t="s">
        <v>168</v>
      </c>
    </row>
    <row r="53" spans="14:16" ht="22" customHeight="1" x14ac:dyDescent="0.35">
      <c r="N53" t="s">
        <v>169</v>
      </c>
      <c r="O53" t="s">
        <v>169</v>
      </c>
      <c r="P53" t="s">
        <v>160</v>
      </c>
    </row>
    <row r="54" spans="14:16" ht="22" customHeight="1" x14ac:dyDescent="0.35">
      <c r="N54" t="s">
        <v>170</v>
      </c>
      <c r="O54" t="s">
        <v>170</v>
      </c>
      <c r="P54" t="s">
        <v>95</v>
      </c>
    </row>
    <row r="55" spans="14:16" ht="22" customHeight="1" x14ac:dyDescent="0.35">
      <c r="N55" t="s">
        <v>171</v>
      </c>
      <c r="O55" t="s">
        <v>171</v>
      </c>
      <c r="P55" t="s">
        <v>160</v>
      </c>
    </row>
    <row r="56" spans="14:16" ht="22" customHeight="1" x14ac:dyDescent="0.35">
      <c r="N56" t="s">
        <v>172</v>
      </c>
      <c r="O56" t="s">
        <v>172</v>
      </c>
      <c r="P56" t="s">
        <v>90</v>
      </c>
    </row>
    <row r="57" spans="14:16" ht="22" customHeight="1" x14ac:dyDescent="0.35">
      <c r="N57" t="s">
        <v>173</v>
      </c>
      <c r="O57" t="s">
        <v>173</v>
      </c>
      <c r="P57" t="s">
        <v>90</v>
      </c>
    </row>
    <row r="58" spans="14:16" ht="22" customHeight="1" x14ac:dyDescent="0.35">
      <c r="N58" t="s">
        <v>174</v>
      </c>
      <c r="O58" t="s">
        <v>174</v>
      </c>
      <c r="P58" t="s">
        <v>166</v>
      </c>
    </row>
    <row r="59" spans="14:16" ht="22" customHeight="1" x14ac:dyDescent="0.35">
      <c r="N59" t="s">
        <v>175</v>
      </c>
      <c r="O59" t="s">
        <v>175</v>
      </c>
      <c r="P59" t="s">
        <v>168</v>
      </c>
    </row>
    <row r="60" spans="14:16" ht="22" customHeight="1" x14ac:dyDescent="0.35">
      <c r="N60" t="s">
        <v>176</v>
      </c>
      <c r="O60" t="s">
        <v>176</v>
      </c>
      <c r="P60" t="s">
        <v>166</v>
      </c>
    </row>
    <row r="61" spans="14:16" ht="22" customHeight="1" x14ac:dyDescent="0.35">
      <c r="N61" t="s">
        <v>177</v>
      </c>
      <c r="O61" t="s">
        <v>177</v>
      </c>
      <c r="P61" t="s">
        <v>29</v>
      </c>
    </row>
    <row r="62" spans="14:16" ht="22" customHeight="1" x14ac:dyDescent="0.35">
      <c r="N62" t="s">
        <v>178</v>
      </c>
      <c r="O62" t="s">
        <v>178</v>
      </c>
      <c r="P62" t="s">
        <v>151</v>
      </c>
    </row>
    <row r="63" spans="14:16" ht="22" customHeight="1" x14ac:dyDescent="0.35">
      <c r="N63" t="s">
        <v>179</v>
      </c>
      <c r="O63" t="s">
        <v>179</v>
      </c>
      <c r="P63" t="s">
        <v>71</v>
      </c>
    </row>
    <row r="64" spans="14:16" ht="22" customHeight="1" x14ac:dyDescent="0.35">
      <c r="N64" t="s">
        <v>180</v>
      </c>
      <c r="O64" t="s">
        <v>180</v>
      </c>
      <c r="P64" t="s">
        <v>105</v>
      </c>
    </row>
    <row r="65" spans="14:16" ht="22" customHeight="1" x14ac:dyDescent="0.35">
      <c r="N65" t="s">
        <v>181</v>
      </c>
      <c r="O65" t="s">
        <v>181</v>
      </c>
      <c r="P65" t="s">
        <v>95</v>
      </c>
    </row>
    <row r="66" spans="14:16" ht="22" customHeight="1" x14ac:dyDescent="0.35">
      <c r="N66" t="s">
        <v>182</v>
      </c>
      <c r="O66" t="s">
        <v>182</v>
      </c>
      <c r="P66" t="s">
        <v>29</v>
      </c>
    </row>
    <row r="67" spans="14:16" ht="22" customHeight="1" x14ac:dyDescent="0.35">
      <c r="N67" t="s">
        <v>183</v>
      </c>
      <c r="O67" t="s">
        <v>183</v>
      </c>
      <c r="P67" t="s">
        <v>168</v>
      </c>
    </row>
    <row r="68" spans="14:16" ht="22" customHeight="1" x14ac:dyDescent="0.35">
      <c r="N68" t="s">
        <v>184</v>
      </c>
      <c r="O68" t="s">
        <v>184</v>
      </c>
      <c r="P68" t="s">
        <v>71</v>
      </c>
    </row>
    <row r="69" spans="14:16" ht="22" customHeight="1" x14ac:dyDescent="0.35">
      <c r="N69" t="s">
        <v>185</v>
      </c>
      <c r="O69" t="s">
        <v>185</v>
      </c>
      <c r="P69" t="s">
        <v>71</v>
      </c>
    </row>
    <row r="70" spans="14:16" ht="22" customHeight="1" x14ac:dyDescent="0.35">
      <c r="N70" t="s">
        <v>186</v>
      </c>
      <c r="O70" t="s">
        <v>186</v>
      </c>
      <c r="P70" t="s">
        <v>29</v>
      </c>
    </row>
    <row r="71" spans="14:16" ht="22" customHeight="1" x14ac:dyDescent="0.35">
      <c r="N71" t="s">
        <v>187</v>
      </c>
      <c r="O71" t="s">
        <v>187</v>
      </c>
      <c r="P71" t="s">
        <v>62</v>
      </c>
    </row>
    <row r="72" spans="14:16" ht="22" customHeight="1" x14ac:dyDescent="0.35">
      <c r="N72" t="s">
        <v>188</v>
      </c>
      <c r="O72" t="s">
        <v>188</v>
      </c>
      <c r="P72" t="s">
        <v>71</v>
      </c>
    </row>
    <row r="73" spans="14:16" ht="22" customHeight="1" x14ac:dyDescent="0.35">
      <c r="N73" t="s">
        <v>189</v>
      </c>
      <c r="O73" t="s">
        <v>189</v>
      </c>
      <c r="P73" t="s">
        <v>105</v>
      </c>
    </row>
    <row r="74" spans="14:16" ht="22" customHeight="1" x14ac:dyDescent="0.35">
      <c r="N74" t="s">
        <v>190</v>
      </c>
      <c r="O74" t="s">
        <v>190</v>
      </c>
      <c r="P74" t="s">
        <v>71</v>
      </c>
    </row>
    <row r="75" spans="14:16" ht="22" customHeight="1" x14ac:dyDescent="0.35">
      <c r="N75" t="s">
        <v>191</v>
      </c>
      <c r="O75" t="s">
        <v>191</v>
      </c>
      <c r="P75" t="s">
        <v>151</v>
      </c>
    </row>
    <row r="76" spans="14:16" ht="22" customHeight="1" x14ac:dyDescent="0.35">
      <c r="N76" t="s">
        <v>192</v>
      </c>
      <c r="O76" t="s">
        <v>192</v>
      </c>
      <c r="P76" t="s">
        <v>71</v>
      </c>
    </row>
    <row r="77" spans="14:16" ht="22" customHeight="1" x14ac:dyDescent="0.35">
      <c r="N77" t="s">
        <v>193</v>
      </c>
      <c r="O77" t="s">
        <v>193</v>
      </c>
      <c r="P77" t="s">
        <v>76</v>
      </c>
    </row>
    <row r="78" spans="14:16" ht="22" customHeight="1" x14ac:dyDescent="0.35">
      <c r="N78" t="s">
        <v>194</v>
      </c>
      <c r="O78" t="s">
        <v>194</v>
      </c>
      <c r="P78" t="s">
        <v>29</v>
      </c>
    </row>
    <row r="79" spans="14:16" ht="22" customHeight="1" x14ac:dyDescent="0.35">
      <c r="N79" t="s">
        <v>195</v>
      </c>
      <c r="O79" t="s">
        <v>195</v>
      </c>
      <c r="P79" t="s">
        <v>160</v>
      </c>
    </row>
    <row r="80" spans="14:16" ht="22" customHeight="1" x14ac:dyDescent="0.35">
      <c r="N80" t="s">
        <v>196</v>
      </c>
      <c r="O80" t="s">
        <v>196</v>
      </c>
      <c r="P80" t="s">
        <v>71</v>
      </c>
    </row>
    <row r="81" spans="14:16" ht="22" customHeight="1" x14ac:dyDescent="0.35">
      <c r="N81" t="s">
        <v>197</v>
      </c>
      <c r="O81" t="s">
        <v>197</v>
      </c>
      <c r="P81" t="s">
        <v>109</v>
      </c>
    </row>
    <row r="82" spans="14:16" ht="22" customHeight="1" x14ac:dyDescent="0.35">
      <c r="N82" t="s">
        <v>198</v>
      </c>
      <c r="O82" t="s">
        <v>198</v>
      </c>
      <c r="P82" t="s">
        <v>29</v>
      </c>
    </row>
    <row r="83" spans="14:16" ht="22" customHeight="1" x14ac:dyDescent="0.35">
      <c r="N83" t="s">
        <v>199</v>
      </c>
      <c r="O83" t="s">
        <v>199</v>
      </c>
      <c r="P83" t="s">
        <v>200</v>
      </c>
    </row>
    <row r="84" spans="14:16" ht="22" customHeight="1" x14ac:dyDescent="0.35">
      <c r="N84" t="s">
        <v>201</v>
      </c>
      <c r="O84" t="s">
        <v>201</v>
      </c>
      <c r="P84" t="s">
        <v>95</v>
      </c>
    </row>
    <row r="85" spans="14:16" ht="22" customHeight="1" x14ac:dyDescent="0.35">
      <c r="N85" t="s">
        <v>202</v>
      </c>
      <c r="O85" t="s">
        <v>202</v>
      </c>
      <c r="P85" t="s">
        <v>71</v>
      </c>
    </row>
    <row r="86" spans="14:16" ht="22" customHeight="1" x14ac:dyDescent="0.35">
      <c r="N86" t="s">
        <v>203</v>
      </c>
      <c r="O86" t="s">
        <v>203</v>
      </c>
      <c r="P86" t="s">
        <v>166</v>
      </c>
    </row>
    <row r="87" spans="14:16" ht="22" customHeight="1" x14ac:dyDescent="0.35">
      <c r="N87" t="s">
        <v>204</v>
      </c>
      <c r="O87" t="s">
        <v>204</v>
      </c>
      <c r="P87" t="s">
        <v>29</v>
      </c>
    </row>
    <row r="88" spans="14:16" ht="22" customHeight="1" x14ac:dyDescent="0.35">
      <c r="N88" t="s">
        <v>205</v>
      </c>
      <c r="O88" t="s">
        <v>205</v>
      </c>
      <c r="P88" t="s">
        <v>168</v>
      </c>
    </row>
    <row r="89" spans="14:16" ht="22" customHeight="1" x14ac:dyDescent="0.35">
      <c r="N89" t="s">
        <v>206</v>
      </c>
      <c r="O89" t="s">
        <v>206</v>
      </c>
      <c r="P89" t="s">
        <v>166</v>
      </c>
    </row>
    <row r="90" spans="14:16" ht="22" customHeight="1" x14ac:dyDescent="0.35">
      <c r="N90" t="s">
        <v>207</v>
      </c>
      <c r="O90" t="s">
        <v>207</v>
      </c>
      <c r="P90" t="s">
        <v>166</v>
      </c>
    </row>
    <row r="91" spans="14:16" ht="22" customHeight="1" x14ac:dyDescent="0.35">
      <c r="N91" t="s">
        <v>208</v>
      </c>
      <c r="O91" t="s">
        <v>208</v>
      </c>
      <c r="P91" t="s">
        <v>105</v>
      </c>
    </row>
    <row r="92" spans="14:16" ht="22" customHeight="1" x14ac:dyDescent="0.35">
      <c r="N92" t="s">
        <v>209</v>
      </c>
      <c r="O92" t="s">
        <v>209</v>
      </c>
      <c r="P92" t="s">
        <v>100</v>
      </c>
    </row>
    <row r="93" spans="14:16" ht="22" customHeight="1" x14ac:dyDescent="0.35">
      <c r="N93" t="s">
        <v>210</v>
      </c>
      <c r="O93" t="s">
        <v>210</v>
      </c>
      <c r="P93" t="s">
        <v>100</v>
      </c>
    </row>
    <row r="94" spans="14:16" ht="22" customHeight="1" x14ac:dyDescent="0.35">
      <c r="N94" t="s">
        <v>211</v>
      </c>
      <c r="O94" t="s">
        <v>211</v>
      </c>
      <c r="P94" t="s">
        <v>160</v>
      </c>
    </row>
    <row r="95" spans="14:16" ht="22" customHeight="1" x14ac:dyDescent="0.35">
      <c r="N95" t="s">
        <v>212</v>
      </c>
      <c r="O95" t="s">
        <v>212</v>
      </c>
      <c r="P95" t="s">
        <v>105</v>
      </c>
    </row>
    <row r="96" spans="14:16" ht="22" customHeight="1" x14ac:dyDescent="0.35">
      <c r="N96" t="s">
        <v>213</v>
      </c>
      <c r="O96" t="s">
        <v>213</v>
      </c>
      <c r="P96" t="s">
        <v>76</v>
      </c>
    </row>
    <row r="97" spans="14:16" ht="22" customHeight="1" x14ac:dyDescent="0.35">
      <c r="N97" t="s">
        <v>214</v>
      </c>
      <c r="O97" t="s">
        <v>214</v>
      </c>
      <c r="P97" t="s">
        <v>166</v>
      </c>
    </row>
    <row r="98" spans="14:16" ht="22" customHeight="1" x14ac:dyDescent="0.35">
      <c r="N98" t="s">
        <v>215</v>
      </c>
      <c r="O98" t="s">
        <v>215</v>
      </c>
      <c r="P98" t="s">
        <v>51</v>
      </c>
    </row>
    <row r="99" spans="14:16" ht="22" customHeight="1" x14ac:dyDescent="0.35">
      <c r="N99" t="s">
        <v>216</v>
      </c>
      <c r="O99" t="s">
        <v>216</v>
      </c>
      <c r="P99" t="s">
        <v>55</v>
      </c>
    </row>
    <row r="100" spans="14:16" ht="22" customHeight="1" x14ac:dyDescent="0.35">
      <c r="N100" t="s">
        <v>217</v>
      </c>
      <c r="O100" t="s">
        <v>217</v>
      </c>
      <c r="P100" t="s">
        <v>51</v>
      </c>
    </row>
    <row r="101" spans="14:16" x14ac:dyDescent="0.35">
      <c r="N101" t="s">
        <v>218</v>
      </c>
      <c r="O101" t="s">
        <v>218</v>
      </c>
      <c r="P101" t="s">
        <v>29</v>
      </c>
    </row>
    <row r="102" spans="14:16" x14ac:dyDescent="0.35">
      <c r="N102" t="s">
        <v>219</v>
      </c>
      <c r="O102" t="s">
        <v>219</v>
      </c>
      <c r="P102" t="s">
        <v>76</v>
      </c>
    </row>
    <row r="103" spans="14:16" x14ac:dyDescent="0.35">
      <c r="N103" t="s">
        <v>220</v>
      </c>
      <c r="O103" t="s">
        <v>220</v>
      </c>
      <c r="P103" t="s">
        <v>29</v>
      </c>
    </row>
    <row r="104" spans="14:16" x14ac:dyDescent="0.35">
      <c r="N104" t="s">
        <v>221</v>
      </c>
      <c r="O104" t="s">
        <v>221</v>
      </c>
      <c r="P104" t="s">
        <v>55</v>
      </c>
    </row>
    <row r="105" spans="14:16" x14ac:dyDescent="0.35">
      <c r="N105" t="s">
        <v>222</v>
      </c>
      <c r="O105" t="s">
        <v>222</v>
      </c>
      <c r="P105" t="s">
        <v>105</v>
      </c>
    </row>
    <row r="106" spans="14:16" x14ac:dyDescent="0.35">
      <c r="N106" t="s">
        <v>223</v>
      </c>
      <c r="O106" t="s">
        <v>223</v>
      </c>
      <c r="P106" t="s">
        <v>29</v>
      </c>
    </row>
    <row r="107" spans="14:16" x14ac:dyDescent="0.35">
      <c r="N107" t="s">
        <v>224</v>
      </c>
      <c r="O107" t="s">
        <v>224</v>
      </c>
      <c r="P107" t="s">
        <v>168</v>
      </c>
    </row>
    <row r="108" spans="14:16" x14ac:dyDescent="0.35">
      <c r="N108" t="s">
        <v>225</v>
      </c>
      <c r="O108" t="s">
        <v>225</v>
      </c>
      <c r="P108" t="s">
        <v>105</v>
      </c>
    </row>
    <row r="109" spans="14:16" x14ac:dyDescent="0.35">
      <c r="N109" t="s">
        <v>226</v>
      </c>
      <c r="O109" t="s">
        <v>226</v>
      </c>
      <c r="P109" t="s">
        <v>71</v>
      </c>
    </row>
    <row r="110" spans="14:16" x14ac:dyDescent="0.35">
      <c r="N110" t="s">
        <v>227</v>
      </c>
      <c r="O110" t="s">
        <v>227</v>
      </c>
      <c r="P110" t="s">
        <v>109</v>
      </c>
    </row>
    <row r="111" spans="14:16" x14ac:dyDescent="0.35">
      <c r="N111" t="s">
        <v>228</v>
      </c>
      <c r="O111" t="s">
        <v>228</v>
      </c>
      <c r="P111" t="s">
        <v>105</v>
      </c>
    </row>
    <row r="112" spans="14:16" x14ac:dyDescent="0.35">
      <c r="N112" t="s">
        <v>229</v>
      </c>
      <c r="O112" t="s">
        <v>229</v>
      </c>
      <c r="P112" t="s">
        <v>71</v>
      </c>
    </row>
    <row r="113" spans="14:16" x14ac:dyDescent="0.35">
      <c r="N113" t="s">
        <v>230</v>
      </c>
      <c r="O113" t="s">
        <v>230</v>
      </c>
      <c r="P113" t="s">
        <v>29</v>
      </c>
    </row>
    <row r="114" spans="14:16" x14ac:dyDescent="0.35">
      <c r="N114" t="s">
        <v>231</v>
      </c>
      <c r="O114" t="s">
        <v>231</v>
      </c>
      <c r="P114" t="s">
        <v>166</v>
      </c>
    </row>
    <row r="115" spans="14:16" x14ac:dyDescent="0.35">
      <c r="N115" t="s">
        <v>232</v>
      </c>
      <c r="O115" t="s">
        <v>232</v>
      </c>
      <c r="P115" t="s">
        <v>29</v>
      </c>
    </row>
    <row r="116" spans="14:16" x14ac:dyDescent="0.35">
      <c r="N116" t="s">
        <v>233</v>
      </c>
      <c r="O116" t="s">
        <v>233</v>
      </c>
      <c r="P116" t="s">
        <v>166</v>
      </c>
    </row>
    <row r="117" spans="14:16" x14ac:dyDescent="0.35">
      <c r="N117" t="s">
        <v>234</v>
      </c>
      <c r="O117" t="s">
        <v>234</v>
      </c>
      <c r="P117" t="s">
        <v>109</v>
      </c>
    </row>
    <row r="118" spans="14:16" x14ac:dyDescent="0.35">
      <c r="N118" t="s">
        <v>235</v>
      </c>
      <c r="O118" t="s">
        <v>235</v>
      </c>
      <c r="P118" t="s">
        <v>168</v>
      </c>
    </row>
    <row r="119" spans="14:16" x14ac:dyDescent="0.35">
      <c r="N119" t="s">
        <v>236</v>
      </c>
      <c r="O119" t="s">
        <v>236</v>
      </c>
      <c r="P119" t="s">
        <v>71</v>
      </c>
    </row>
    <row r="120" spans="14:16" x14ac:dyDescent="0.35">
      <c r="N120" t="s">
        <v>237</v>
      </c>
      <c r="O120" t="s">
        <v>237</v>
      </c>
      <c r="P120" t="s">
        <v>168</v>
      </c>
    </row>
    <row r="121" spans="14:16" x14ac:dyDescent="0.35">
      <c r="N121" t="s">
        <v>238</v>
      </c>
      <c r="O121" t="s">
        <v>238</v>
      </c>
      <c r="P121" t="s">
        <v>105</v>
      </c>
    </row>
    <row r="122" spans="14:16" x14ac:dyDescent="0.35">
      <c r="N122" t="s">
        <v>239</v>
      </c>
      <c r="O122" t="s">
        <v>239</v>
      </c>
      <c r="P122" t="s">
        <v>76</v>
      </c>
    </row>
    <row r="123" spans="14:16" x14ac:dyDescent="0.35">
      <c r="N123" t="s">
        <v>240</v>
      </c>
      <c r="O123" t="s">
        <v>240</v>
      </c>
      <c r="P123" t="s">
        <v>30</v>
      </c>
    </row>
    <row r="124" spans="14:16" x14ac:dyDescent="0.35">
      <c r="N124" t="s">
        <v>241</v>
      </c>
      <c r="O124" t="s">
        <v>241</v>
      </c>
      <c r="P124" t="s">
        <v>168</v>
      </c>
    </row>
    <row r="125" spans="14:16" x14ac:dyDescent="0.35">
      <c r="N125" t="s">
        <v>84</v>
      </c>
      <c r="O125" t="s">
        <v>84</v>
      </c>
      <c r="P125" t="s">
        <v>90</v>
      </c>
    </row>
    <row r="126" spans="14:16" x14ac:dyDescent="0.35">
      <c r="N126" t="s">
        <v>242</v>
      </c>
      <c r="O126" t="s">
        <v>242</v>
      </c>
      <c r="P126" t="s">
        <v>168</v>
      </c>
    </row>
    <row r="127" spans="14:16" x14ac:dyDescent="0.35">
      <c r="N127" t="s">
        <v>243</v>
      </c>
      <c r="O127" t="s">
        <v>243</v>
      </c>
      <c r="P127" t="s">
        <v>166</v>
      </c>
    </row>
    <row r="128" spans="14:16" x14ac:dyDescent="0.35">
      <c r="N128" t="s">
        <v>244</v>
      </c>
      <c r="O128" t="s">
        <v>244</v>
      </c>
      <c r="P128" t="s">
        <v>95</v>
      </c>
    </row>
    <row r="129" spans="14:16" x14ac:dyDescent="0.35">
      <c r="N129" t="s">
        <v>245</v>
      </c>
      <c r="O129" t="s">
        <v>245</v>
      </c>
      <c r="P129" t="s">
        <v>51</v>
      </c>
    </row>
    <row r="130" spans="14:16" x14ac:dyDescent="0.35">
      <c r="N130" t="s">
        <v>246</v>
      </c>
      <c r="O130" t="s">
        <v>246</v>
      </c>
      <c r="P130" t="s">
        <v>151</v>
      </c>
    </row>
    <row r="131" spans="14:16" x14ac:dyDescent="0.35">
      <c r="N131" t="s">
        <v>62</v>
      </c>
      <c r="O131" t="s">
        <v>62</v>
      </c>
      <c r="P131" t="s">
        <v>62</v>
      </c>
    </row>
    <row r="132" spans="14:16" x14ac:dyDescent="0.35">
      <c r="N132" t="s">
        <v>247</v>
      </c>
      <c r="O132" t="s">
        <v>247</v>
      </c>
      <c r="P132" t="s">
        <v>51</v>
      </c>
    </row>
    <row r="133" spans="14:16" x14ac:dyDescent="0.35">
      <c r="N133" t="s">
        <v>248</v>
      </c>
      <c r="O133" t="s">
        <v>248</v>
      </c>
      <c r="P133" t="s">
        <v>51</v>
      </c>
    </row>
    <row r="134" spans="14:16" x14ac:dyDescent="0.35">
      <c r="N134" t="s">
        <v>249</v>
      </c>
      <c r="O134" t="s">
        <v>249</v>
      </c>
      <c r="P134" t="s">
        <v>200</v>
      </c>
    </row>
    <row r="135" spans="14:16" x14ac:dyDescent="0.35">
      <c r="N135" t="s">
        <v>250</v>
      </c>
      <c r="O135" t="s">
        <v>250</v>
      </c>
      <c r="P135" t="s">
        <v>166</v>
      </c>
    </row>
    <row r="136" spans="14:16" x14ac:dyDescent="0.35">
      <c r="N136" t="s">
        <v>251</v>
      </c>
      <c r="O136" t="s">
        <v>251</v>
      </c>
      <c r="P136" t="s">
        <v>95</v>
      </c>
    </row>
    <row r="137" spans="14:16" x14ac:dyDescent="0.35">
      <c r="N137" t="s">
        <v>252</v>
      </c>
      <c r="O137" t="s">
        <v>252</v>
      </c>
      <c r="P137" t="s">
        <v>166</v>
      </c>
    </row>
    <row r="138" spans="14:16" x14ac:dyDescent="0.35">
      <c r="N138" t="s">
        <v>253</v>
      </c>
      <c r="O138" t="s">
        <v>253</v>
      </c>
      <c r="P138" t="s">
        <v>200</v>
      </c>
    </row>
    <row r="139" spans="14:16" x14ac:dyDescent="0.35">
      <c r="N139" t="s">
        <v>254</v>
      </c>
      <c r="O139" t="s">
        <v>254</v>
      </c>
      <c r="P139" t="s">
        <v>105</v>
      </c>
    </row>
    <row r="140" spans="14:16" x14ac:dyDescent="0.35">
      <c r="N140" t="s">
        <v>255</v>
      </c>
      <c r="O140" t="s">
        <v>255</v>
      </c>
      <c r="P140" t="s">
        <v>168</v>
      </c>
    </row>
    <row r="141" spans="14:16" x14ac:dyDescent="0.35">
      <c r="N141" t="s">
        <v>256</v>
      </c>
      <c r="O141" t="s">
        <v>256</v>
      </c>
      <c r="P141" t="s">
        <v>55</v>
      </c>
    </row>
    <row r="142" spans="14:16" x14ac:dyDescent="0.35">
      <c r="N142" t="s">
        <v>257</v>
      </c>
      <c r="O142" t="s">
        <v>257</v>
      </c>
      <c r="P142" t="s">
        <v>71</v>
      </c>
    </row>
    <row r="143" spans="14:16" x14ac:dyDescent="0.35">
      <c r="N143" t="s">
        <v>258</v>
      </c>
      <c r="O143" t="s">
        <v>258</v>
      </c>
      <c r="P143" t="s">
        <v>100</v>
      </c>
    </row>
    <row r="144" spans="14:16" x14ac:dyDescent="0.35">
      <c r="N144" t="s">
        <v>259</v>
      </c>
      <c r="O144" t="s">
        <v>259</v>
      </c>
      <c r="P144" t="s">
        <v>105</v>
      </c>
    </row>
    <row r="145" spans="14:16" x14ac:dyDescent="0.35">
      <c r="N145" t="s">
        <v>260</v>
      </c>
      <c r="O145" t="s">
        <v>260</v>
      </c>
      <c r="P145" t="s">
        <v>29</v>
      </c>
    </row>
    <row r="146" spans="14:16" x14ac:dyDescent="0.35">
      <c r="N146" t="s">
        <v>261</v>
      </c>
      <c r="O146" t="s">
        <v>261</v>
      </c>
      <c r="P146" t="s">
        <v>51</v>
      </c>
    </row>
    <row r="147" spans="14:16" x14ac:dyDescent="0.35">
      <c r="N147" t="s">
        <v>262</v>
      </c>
      <c r="O147" t="s">
        <v>262</v>
      </c>
      <c r="P147" t="s">
        <v>90</v>
      </c>
    </row>
    <row r="148" spans="14:16" x14ac:dyDescent="0.35">
      <c r="N148" t="s">
        <v>263</v>
      </c>
      <c r="O148" t="s">
        <v>263</v>
      </c>
      <c r="P148" t="s">
        <v>62</v>
      </c>
    </row>
    <row r="149" spans="14:16" x14ac:dyDescent="0.35">
      <c r="N149" t="s">
        <v>264</v>
      </c>
      <c r="O149" t="s">
        <v>264</v>
      </c>
      <c r="P149" t="s">
        <v>55</v>
      </c>
    </row>
    <row r="150" spans="14:16" x14ac:dyDescent="0.35">
      <c r="N150" t="s">
        <v>265</v>
      </c>
      <c r="O150" t="s">
        <v>265</v>
      </c>
      <c r="P150" t="s">
        <v>151</v>
      </c>
    </row>
    <row r="151" spans="14:16" x14ac:dyDescent="0.35">
      <c r="N151" t="s">
        <v>266</v>
      </c>
      <c r="O151" t="s">
        <v>266</v>
      </c>
      <c r="P151" t="s">
        <v>62</v>
      </c>
    </row>
    <row r="152" spans="14:16" x14ac:dyDescent="0.35">
      <c r="N152" t="s">
        <v>267</v>
      </c>
      <c r="O152" t="s">
        <v>267</v>
      </c>
      <c r="P152" t="s">
        <v>29</v>
      </c>
    </row>
    <row r="153" spans="14:16" x14ac:dyDescent="0.35">
      <c r="N153" t="s">
        <v>268</v>
      </c>
      <c r="O153" t="s">
        <v>268</v>
      </c>
      <c r="P153" t="s">
        <v>29</v>
      </c>
    </row>
    <row r="154" spans="14:16" x14ac:dyDescent="0.35">
      <c r="N154" t="s">
        <v>269</v>
      </c>
      <c r="O154" t="s">
        <v>269</v>
      </c>
      <c r="P154" t="s">
        <v>71</v>
      </c>
    </row>
    <row r="155" spans="14:16" x14ac:dyDescent="0.35">
      <c r="N155" t="s">
        <v>270</v>
      </c>
      <c r="O155" t="s">
        <v>270</v>
      </c>
      <c r="P155" t="s">
        <v>76</v>
      </c>
    </row>
    <row r="156" spans="14:16" x14ac:dyDescent="0.35">
      <c r="N156" t="s">
        <v>270</v>
      </c>
      <c r="O156" t="s">
        <v>270</v>
      </c>
      <c r="P156" t="s">
        <v>62</v>
      </c>
    </row>
    <row r="157" spans="14:16" x14ac:dyDescent="0.35">
      <c r="N157" t="s">
        <v>271</v>
      </c>
      <c r="O157" t="s">
        <v>271</v>
      </c>
      <c r="P157" t="s">
        <v>76</v>
      </c>
    </row>
    <row r="158" spans="14:16" x14ac:dyDescent="0.35">
      <c r="N158" t="s">
        <v>272</v>
      </c>
      <c r="O158" t="s">
        <v>272</v>
      </c>
      <c r="P158" t="s">
        <v>95</v>
      </c>
    </row>
    <row r="159" spans="14:16" x14ac:dyDescent="0.35">
      <c r="N159" t="s">
        <v>273</v>
      </c>
      <c r="O159" t="s">
        <v>273</v>
      </c>
      <c r="P159" t="s">
        <v>51</v>
      </c>
    </row>
    <row r="160" spans="14:16" x14ac:dyDescent="0.35">
      <c r="N160" t="s">
        <v>274</v>
      </c>
      <c r="O160" t="s">
        <v>274</v>
      </c>
      <c r="P160" t="s">
        <v>95</v>
      </c>
    </row>
    <row r="161" spans="14:16" x14ac:dyDescent="0.35">
      <c r="N161" t="s">
        <v>275</v>
      </c>
      <c r="O161" t="s">
        <v>275</v>
      </c>
      <c r="P161" t="s">
        <v>95</v>
      </c>
    </row>
    <row r="162" spans="14:16" x14ac:dyDescent="0.35">
      <c r="N162" t="s">
        <v>276</v>
      </c>
      <c r="O162" t="s">
        <v>276</v>
      </c>
      <c r="P162" t="s">
        <v>168</v>
      </c>
    </row>
    <row r="163" spans="14:16" x14ac:dyDescent="0.35">
      <c r="N163" t="s">
        <v>277</v>
      </c>
      <c r="O163" t="s">
        <v>277</v>
      </c>
      <c r="P163" t="s">
        <v>200</v>
      </c>
    </row>
    <row r="164" spans="14:16" x14ac:dyDescent="0.35">
      <c r="N164" t="s">
        <v>278</v>
      </c>
      <c r="O164" t="s">
        <v>278</v>
      </c>
      <c r="P164" t="s">
        <v>168</v>
      </c>
    </row>
    <row r="165" spans="14:16" x14ac:dyDescent="0.35">
      <c r="N165" t="s">
        <v>279</v>
      </c>
      <c r="O165" t="s">
        <v>279</v>
      </c>
      <c r="P165" t="s">
        <v>200</v>
      </c>
    </row>
    <row r="166" spans="14:16" x14ac:dyDescent="0.35">
      <c r="N166" t="s">
        <v>280</v>
      </c>
      <c r="O166" t="s">
        <v>280</v>
      </c>
      <c r="P166" t="s">
        <v>166</v>
      </c>
    </row>
    <row r="167" spans="14:16" x14ac:dyDescent="0.35">
      <c r="N167" t="s">
        <v>281</v>
      </c>
      <c r="O167" t="s">
        <v>281</v>
      </c>
      <c r="P167" t="s">
        <v>166</v>
      </c>
    </row>
    <row r="168" spans="14:16" x14ac:dyDescent="0.35">
      <c r="N168" t="s">
        <v>282</v>
      </c>
      <c r="O168" t="s">
        <v>282</v>
      </c>
      <c r="P168" t="s">
        <v>168</v>
      </c>
    </row>
    <row r="169" spans="14:16" x14ac:dyDescent="0.35">
      <c r="N169" t="s">
        <v>283</v>
      </c>
      <c r="O169" t="s">
        <v>283</v>
      </c>
      <c r="P169" t="s">
        <v>168</v>
      </c>
    </row>
    <row r="170" spans="14:16" x14ac:dyDescent="0.35">
      <c r="N170" t="s">
        <v>284</v>
      </c>
      <c r="O170" t="s">
        <v>284</v>
      </c>
      <c r="P170" t="s">
        <v>200</v>
      </c>
    </row>
    <row r="171" spans="14:16" x14ac:dyDescent="0.35">
      <c r="N171" t="s">
        <v>285</v>
      </c>
      <c r="O171" t="s">
        <v>285</v>
      </c>
      <c r="P171" t="s">
        <v>200</v>
      </c>
    </row>
    <row r="172" spans="14:16" x14ac:dyDescent="0.35">
      <c r="N172" t="s">
        <v>286</v>
      </c>
      <c r="O172" t="s">
        <v>286</v>
      </c>
      <c r="P172" t="s">
        <v>200</v>
      </c>
    </row>
    <row r="173" spans="14:16" x14ac:dyDescent="0.35">
      <c r="N173" t="s">
        <v>287</v>
      </c>
      <c r="O173" t="s">
        <v>287</v>
      </c>
      <c r="P173" t="s">
        <v>166</v>
      </c>
    </row>
    <row r="174" spans="14:16" x14ac:dyDescent="0.35">
      <c r="N174" t="s">
        <v>288</v>
      </c>
      <c r="O174" t="s">
        <v>288</v>
      </c>
      <c r="P174" t="s">
        <v>200</v>
      </c>
    </row>
    <row r="175" spans="14:16" x14ac:dyDescent="0.35">
      <c r="N175" t="s">
        <v>289</v>
      </c>
      <c r="O175" t="s">
        <v>289</v>
      </c>
      <c r="P175" t="s">
        <v>71</v>
      </c>
    </row>
    <row r="176" spans="14:16" x14ac:dyDescent="0.35">
      <c r="N176" t="s">
        <v>290</v>
      </c>
      <c r="O176" t="s">
        <v>290</v>
      </c>
      <c r="P176" t="s">
        <v>55</v>
      </c>
    </row>
    <row r="177" spans="14:16" x14ac:dyDescent="0.35">
      <c r="N177" t="s">
        <v>291</v>
      </c>
      <c r="O177" t="s">
        <v>291</v>
      </c>
      <c r="P177" t="s">
        <v>100</v>
      </c>
    </row>
    <row r="178" spans="14:16" x14ac:dyDescent="0.35">
      <c r="N178" t="s">
        <v>292</v>
      </c>
      <c r="O178" t="s">
        <v>292</v>
      </c>
      <c r="P178" t="s">
        <v>55</v>
      </c>
    </row>
    <row r="179" spans="14:16" x14ac:dyDescent="0.35">
      <c r="N179" t="s">
        <v>293</v>
      </c>
      <c r="O179" t="s">
        <v>293</v>
      </c>
      <c r="P179" t="s">
        <v>166</v>
      </c>
    </row>
    <row r="180" spans="14:16" x14ac:dyDescent="0.35">
      <c r="N180" t="s">
        <v>294</v>
      </c>
      <c r="O180" t="s">
        <v>294</v>
      </c>
      <c r="P180" t="s">
        <v>62</v>
      </c>
    </row>
    <row r="181" spans="14:16" x14ac:dyDescent="0.35">
      <c r="N181" t="s">
        <v>295</v>
      </c>
      <c r="O181" t="s">
        <v>295</v>
      </c>
      <c r="P181" t="s">
        <v>105</v>
      </c>
    </row>
    <row r="182" spans="14:16" x14ac:dyDescent="0.35">
      <c r="N182" t="s">
        <v>296</v>
      </c>
      <c r="O182" t="s">
        <v>296</v>
      </c>
      <c r="P182" t="s">
        <v>71</v>
      </c>
    </row>
    <row r="183" spans="14:16" x14ac:dyDescent="0.35">
      <c r="N183" t="s">
        <v>297</v>
      </c>
      <c r="O183" t="s">
        <v>297</v>
      </c>
      <c r="P183" t="s">
        <v>105</v>
      </c>
    </row>
    <row r="184" spans="14:16" x14ac:dyDescent="0.35">
      <c r="N184" t="s">
        <v>298</v>
      </c>
      <c r="O184" t="s">
        <v>298</v>
      </c>
      <c r="P184" t="s">
        <v>160</v>
      </c>
    </row>
    <row r="185" spans="14:16" x14ac:dyDescent="0.35">
      <c r="N185" t="s">
        <v>299</v>
      </c>
      <c r="O185" t="s">
        <v>299</v>
      </c>
      <c r="P185" t="s">
        <v>55</v>
      </c>
    </row>
    <row r="186" spans="14:16" x14ac:dyDescent="0.35">
      <c r="N186" t="s">
        <v>115</v>
      </c>
      <c r="O186" t="s">
        <v>115</v>
      </c>
      <c r="P186" t="s">
        <v>109</v>
      </c>
    </row>
    <row r="187" spans="14:16" x14ac:dyDescent="0.35">
      <c r="N187" t="s">
        <v>300</v>
      </c>
      <c r="O187" t="s">
        <v>300</v>
      </c>
      <c r="P187" t="s">
        <v>51</v>
      </c>
    </row>
    <row r="188" spans="14:16" x14ac:dyDescent="0.35">
      <c r="N188" t="s">
        <v>301</v>
      </c>
      <c r="O188" t="s">
        <v>301</v>
      </c>
      <c r="P188" t="s">
        <v>71</v>
      </c>
    </row>
    <row r="189" spans="14:16" x14ac:dyDescent="0.35">
      <c r="N189" t="s">
        <v>302</v>
      </c>
      <c r="O189" t="s">
        <v>302</v>
      </c>
      <c r="P189" t="s">
        <v>95</v>
      </c>
    </row>
    <row r="190" spans="14:16" x14ac:dyDescent="0.35">
      <c r="N190" t="s">
        <v>303</v>
      </c>
      <c r="O190" t="s">
        <v>303</v>
      </c>
      <c r="P190" t="s">
        <v>51</v>
      </c>
    </row>
    <row r="191" spans="14:16" x14ac:dyDescent="0.35">
      <c r="N191" t="s">
        <v>304</v>
      </c>
      <c r="O191" t="s">
        <v>304</v>
      </c>
      <c r="P191" t="s">
        <v>62</v>
      </c>
    </row>
    <row r="192" spans="14:16" x14ac:dyDescent="0.35">
      <c r="N192" t="s">
        <v>305</v>
      </c>
      <c r="O192" t="s">
        <v>305</v>
      </c>
      <c r="P192" t="s">
        <v>166</v>
      </c>
    </row>
    <row r="193" spans="14:16" x14ac:dyDescent="0.35">
      <c r="N193" t="s">
        <v>306</v>
      </c>
      <c r="O193" t="s">
        <v>306</v>
      </c>
      <c r="P193" t="s">
        <v>166</v>
      </c>
    </row>
    <row r="194" spans="14:16" x14ac:dyDescent="0.35">
      <c r="N194" t="s">
        <v>307</v>
      </c>
      <c r="O194" t="s">
        <v>307</v>
      </c>
      <c r="P194" t="s">
        <v>168</v>
      </c>
    </row>
    <row r="195" spans="14:16" x14ac:dyDescent="0.35">
      <c r="N195" t="s">
        <v>308</v>
      </c>
      <c r="O195" t="s">
        <v>308</v>
      </c>
      <c r="P195" t="s">
        <v>166</v>
      </c>
    </row>
    <row r="196" spans="14:16" x14ac:dyDescent="0.35">
      <c r="N196" t="s">
        <v>309</v>
      </c>
      <c r="O196" t="s">
        <v>309</v>
      </c>
      <c r="P196" t="s">
        <v>166</v>
      </c>
    </row>
    <row r="197" spans="14:16" x14ac:dyDescent="0.35">
      <c r="N197" t="s">
        <v>310</v>
      </c>
      <c r="O197" t="s">
        <v>310</v>
      </c>
      <c r="P197" t="s">
        <v>71</v>
      </c>
    </row>
    <row r="198" spans="14:16" x14ac:dyDescent="0.35">
      <c r="N198" t="s">
        <v>311</v>
      </c>
      <c r="O198" t="s">
        <v>311</v>
      </c>
      <c r="P198" t="s">
        <v>62</v>
      </c>
    </row>
    <row r="199" spans="14:16" x14ac:dyDescent="0.35">
      <c r="N199" t="s">
        <v>312</v>
      </c>
      <c r="O199" t="s">
        <v>312</v>
      </c>
      <c r="P199" t="s">
        <v>51</v>
      </c>
    </row>
    <row r="200" spans="14:16" x14ac:dyDescent="0.35">
      <c r="N200" t="s">
        <v>313</v>
      </c>
      <c r="O200" t="s">
        <v>313</v>
      </c>
      <c r="P200" t="s">
        <v>76</v>
      </c>
    </row>
    <row r="201" spans="14:16" x14ac:dyDescent="0.35">
      <c r="N201" t="s">
        <v>314</v>
      </c>
      <c r="O201" t="s">
        <v>314</v>
      </c>
      <c r="P201" t="s">
        <v>166</v>
      </c>
    </row>
    <row r="202" spans="14:16" x14ac:dyDescent="0.35">
      <c r="N202" t="s">
        <v>315</v>
      </c>
      <c r="O202" t="s">
        <v>315</v>
      </c>
      <c r="P202" t="s">
        <v>95</v>
      </c>
    </row>
    <row r="203" spans="14:16" x14ac:dyDescent="0.35">
      <c r="N203" t="s">
        <v>316</v>
      </c>
      <c r="O203" t="s">
        <v>316</v>
      </c>
      <c r="P203" t="s">
        <v>62</v>
      </c>
    </row>
    <row r="204" spans="14:16" x14ac:dyDescent="0.35">
      <c r="N204" t="s">
        <v>317</v>
      </c>
      <c r="O204" t="s">
        <v>317</v>
      </c>
      <c r="P204" t="s">
        <v>105</v>
      </c>
    </row>
    <row r="205" spans="14:16" x14ac:dyDescent="0.35">
      <c r="N205" t="s">
        <v>318</v>
      </c>
      <c r="O205" t="s">
        <v>318</v>
      </c>
      <c r="P205" t="s">
        <v>51</v>
      </c>
    </row>
    <row r="206" spans="14:16" x14ac:dyDescent="0.35">
      <c r="N206" t="s">
        <v>319</v>
      </c>
      <c r="O206" t="s">
        <v>319</v>
      </c>
      <c r="P206" t="s">
        <v>29</v>
      </c>
    </row>
    <row r="207" spans="14:16" x14ac:dyDescent="0.35">
      <c r="N207" t="s">
        <v>320</v>
      </c>
      <c r="O207" t="s">
        <v>320</v>
      </c>
      <c r="P207" t="s">
        <v>29</v>
      </c>
    </row>
    <row r="208" spans="14:16" x14ac:dyDescent="0.35">
      <c r="N208" t="s">
        <v>321</v>
      </c>
      <c r="O208" t="s">
        <v>321</v>
      </c>
      <c r="P208" t="s">
        <v>76</v>
      </c>
    </row>
    <row r="209" spans="14:16" x14ac:dyDescent="0.35">
      <c r="N209" t="s">
        <v>322</v>
      </c>
      <c r="O209" t="s">
        <v>322</v>
      </c>
      <c r="P209" t="s">
        <v>51</v>
      </c>
    </row>
    <row r="210" spans="14:16" x14ac:dyDescent="0.35">
      <c r="N210" t="s">
        <v>323</v>
      </c>
      <c r="O210" t="s">
        <v>323</v>
      </c>
      <c r="P210" t="s">
        <v>105</v>
      </c>
    </row>
    <row r="211" spans="14:16" x14ac:dyDescent="0.35">
      <c r="N211" t="s">
        <v>324</v>
      </c>
      <c r="O211" t="s">
        <v>324</v>
      </c>
      <c r="P211" t="s">
        <v>168</v>
      </c>
    </row>
    <row r="212" spans="14:16" x14ac:dyDescent="0.35">
      <c r="N212" t="s">
        <v>325</v>
      </c>
      <c r="O212" t="s">
        <v>325</v>
      </c>
      <c r="P212" t="s">
        <v>30</v>
      </c>
    </row>
    <row r="213" spans="14:16" x14ac:dyDescent="0.35">
      <c r="N213" t="s">
        <v>326</v>
      </c>
      <c r="O213" t="s">
        <v>326</v>
      </c>
      <c r="P213" t="s">
        <v>76</v>
      </c>
    </row>
    <row r="214" spans="14:16" x14ac:dyDescent="0.35">
      <c r="N214" t="s">
        <v>327</v>
      </c>
      <c r="O214" t="s">
        <v>327</v>
      </c>
      <c r="P214" t="s">
        <v>76</v>
      </c>
    </row>
    <row r="215" spans="14:16" x14ac:dyDescent="0.35">
      <c r="N215" t="s">
        <v>328</v>
      </c>
      <c r="O215" t="s">
        <v>328</v>
      </c>
      <c r="P215" t="s">
        <v>29</v>
      </c>
    </row>
    <row r="216" spans="14:16" x14ac:dyDescent="0.35">
      <c r="N216" t="s">
        <v>329</v>
      </c>
      <c r="O216" t="s">
        <v>329</v>
      </c>
      <c r="P216" t="s">
        <v>76</v>
      </c>
    </row>
    <row r="217" spans="14:16" x14ac:dyDescent="0.35">
      <c r="N217" t="s">
        <v>330</v>
      </c>
      <c r="O217" t="s">
        <v>330</v>
      </c>
      <c r="P217" t="s">
        <v>62</v>
      </c>
    </row>
    <row r="218" spans="14:16" x14ac:dyDescent="0.35">
      <c r="N218" t="s">
        <v>331</v>
      </c>
      <c r="O218" t="s">
        <v>331</v>
      </c>
      <c r="P218" t="s">
        <v>109</v>
      </c>
    </row>
    <row r="219" spans="14:16" x14ac:dyDescent="0.35">
      <c r="N219" t="s">
        <v>332</v>
      </c>
      <c r="O219" t="s">
        <v>332</v>
      </c>
      <c r="P219" t="s">
        <v>71</v>
      </c>
    </row>
    <row r="220" spans="14:16" x14ac:dyDescent="0.35">
      <c r="N220" t="s">
        <v>333</v>
      </c>
      <c r="O220" t="s">
        <v>333</v>
      </c>
      <c r="P220" t="s">
        <v>151</v>
      </c>
    </row>
    <row r="221" spans="14:16" x14ac:dyDescent="0.35">
      <c r="N221" t="s">
        <v>334</v>
      </c>
      <c r="O221" t="s">
        <v>334</v>
      </c>
      <c r="P221" t="s">
        <v>166</v>
      </c>
    </row>
    <row r="222" spans="14:16" x14ac:dyDescent="0.35">
      <c r="N222" t="s">
        <v>335</v>
      </c>
      <c r="O222" t="s">
        <v>335</v>
      </c>
      <c r="P222" t="s">
        <v>105</v>
      </c>
    </row>
    <row r="223" spans="14:16" x14ac:dyDescent="0.35">
      <c r="N223" t="s">
        <v>336</v>
      </c>
      <c r="O223" t="s">
        <v>336</v>
      </c>
      <c r="P223" t="s">
        <v>166</v>
      </c>
    </row>
    <row r="224" spans="14:16" x14ac:dyDescent="0.35">
      <c r="N224" t="s">
        <v>130</v>
      </c>
      <c r="O224" t="s">
        <v>130</v>
      </c>
      <c r="P224" t="s">
        <v>105</v>
      </c>
    </row>
    <row r="225" spans="14:16" x14ac:dyDescent="0.35">
      <c r="N225" t="s">
        <v>337</v>
      </c>
      <c r="O225" t="s">
        <v>337</v>
      </c>
      <c r="P225" t="s">
        <v>51</v>
      </c>
    </row>
    <row r="226" spans="14:16" x14ac:dyDescent="0.35">
      <c r="N226" t="s">
        <v>338</v>
      </c>
      <c r="O226" t="s">
        <v>338</v>
      </c>
      <c r="P226" t="s">
        <v>62</v>
      </c>
    </row>
    <row r="227" spans="14:16" x14ac:dyDescent="0.35">
      <c r="N227" t="s">
        <v>339</v>
      </c>
      <c r="O227" t="s">
        <v>339</v>
      </c>
      <c r="P227" t="s">
        <v>76</v>
      </c>
    </row>
    <row r="228" spans="14:16" x14ac:dyDescent="0.35">
      <c r="N228" t="s">
        <v>340</v>
      </c>
      <c r="O228" t="s">
        <v>340</v>
      </c>
      <c r="P228" t="s">
        <v>55</v>
      </c>
    </row>
    <row r="229" spans="14:16" x14ac:dyDescent="0.35">
      <c r="N229" t="s">
        <v>341</v>
      </c>
      <c r="O229" t="s">
        <v>341</v>
      </c>
      <c r="P229" t="s">
        <v>100</v>
      </c>
    </row>
    <row r="230" spans="14:16" x14ac:dyDescent="0.35">
      <c r="N230" t="s">
        <v>342</v>
      </c>
      <c r="O230" t="s">
        <v>342</v>
      </c>
      <c r="P230" t="s">
        <v>71</v>
      </c>
    </row>
    <row r="231" spans="14:16" x14ac:dyDescent="0.35">
      <c r="N231" t="s">
        <v>343</v>
      </c>
      <c r="O231" t="s">
        <v>343</v>
      </c>
      <c r="P231" t="s">
        <v>76</v>
      </c>
    </row>
    <row r="232" spans="14:16" x14ac:dyDescent="0.35">
      <c r="N232" t="s">
        <v>344</v>
      </c>
      <c r="O232" t="s">
        <v>344</v>
      </c>
      <c r="P232" t="s">
        <v>29</v>
      </c>
    </row>
    <row r="233" spans="14:16" x14ac:dyDescent="0.35">
      <c r="N233" t="s">
        <v>345</v>
      </c>
      <c r="O233" t="s">
        <v>345</v>
      </c>
      <c r="P233" t="s">
        <v>168</v>
      </c>
    </row>
    <row r="234" spans="14:16" x14ac:dyDescent="0.35">
      <c r="N234" t="s">
        <v>346</v>
      </c>
      <c r="O234" t="s">
        <v>346</v>
      </c>
      <c r="P234" t="s">
        <v>76</v>
      </c>
    </row>
    <row r="235" spans="14:16" x14ac:dyDescent="0.35">
      <c r="N235" t="s">
        <v>347</v>
      </c>
      <c r="O235" t="s">
        <v>347</v>
      </c>
      <c r="P235" t="s">
        <v>168</v>
      </c>
    </row>
    <row r="236" spans="14:16" x14ac:dyDescent="0.35">
      <c r="N236" t="s">
        <v>348</v>
      </c>
      <c r="O236" t="s">
        <v>348</v>
      </c>
      <c r="P236" t="s">
        <v>168</v>
      </c>
    </row>
    <row r="237" spans="14:16" x14ac:dyDescent="0.35">
      <c r="N237" t="s">
        <v>349</v>
      </c>
      <c r="O237" t="s">
        <v>349</v>
      </c>
      <c r="P237" t="s">
        <v>71</v>
      </c>
    </row>
    <row r="238" spans="14:16" x14ac:dyDescent="0.35">
      <c r="N238" t="s">
        <v>350</v>
      </c>
      <c r="O238" t="s">
        <v>350</v>
      </c>
      <c r="P238" t="s">
        <v>30</v>
      </c>
    </row>
    <row r="239" spans="14:16" x14ac:dyDescent="0.35">
      <c r="N239" t="s">
        <v>351</v>
      </c>
      <c r="O239" t="s">
        <v>351</v>
      </c>
      <c r="P239" t="s">
        <v>55</v>
      </c>
    </row>
    <row r="240" spans="14:16" x14ac:dyDescent="0.35">
      <c r="N240" t="s">
        <v>352</v>
      </c>
      <c r="O240" t="s">
        <v>352</v>
      </c>
      <c r="P240" t="s">
        <v>95</v>
      </c>
    </row>
    <row r="241" spans="14:16" x14ac:dyDescent="0.35">
      <c r="N241" t="s">
        <v>353</v>
      </c>
      <c r="O241" t="s">
        <v>353</v>
      </c>
      <c r="P241" t="s">
        <v>62</v>
      </c>
    </row>
    <row r="242" spans="14:16" x14ac:dyDescent="0.35">
      <c r="N242" t="s">
        <v>354</v>
      </c>
      <c r="O242" t="s">
        <v>354</v>
      </c>
      <c r="P242" t="s">
        <v>105</v>
      </c>
    </row>
    <row r="243" spans="14:16" x14ac:dyDescent="0.35">
      <c r="N243" t="s">
        <v>355</v>
      </c>
      <c r="O243" t="s">
        <v>355</v>
      </c>
      <c r="P243" t="s">
        <v>51</v>
      </c>
    </row>
    <row r="244" spans="14:16" x14ac:dyDescent="0.35">
      <c r="N244" t="s">
        <v>356</v>
      </c>
      <c r="O244" t="s">
        <v>356</v>
      </c>
      <c r="P244" t="s">
        <v>76</v>
      </c>
    </row>
    <row r="245" spans="14:16" x14ac:dyDescent="0.35">
      <c r="N245" t="s">
        <v>357</v>
      </c>
      <c r="O245" t="s">
        <v>357</v>
      </c>
      <c r="P245" t="s">
        <v>51</v>
      </c>
    </row>
    <row r="246" spans="14:16" x14ac:dyDescent="0.35">
      <c r="N246" t="s">
        <v>358</v>
      </c>
      <c r="O246" t="s">
        <v>358</v>
      </c>
      <c r="P246" t="s">
        <v>30</v>
      </c>
    </row>
    <row r="247" spans="14:16" x14ac:dyDescent="0.35">
      <c r="N247" t="s">
        <v>136</v>
      </c>
      <c r="O247" t="s">
        <v>136</v>
      </c>
      <c r="P247" t="s">
        <v>51</v>
      </c>
    </row>
    <row r="248" spans="14:16" x14ac:dyDescent="0.35">
      <c r="N248" t="s">
        <v>359</v>
      </c>
      <c r="O248" t="s">
        <v>359</v>
      </c>
      <c r="P248" t="s">
        <v>55</v>
      </c>
    </row>
    <row r="249" spans="14:16" x14ac:dyDescent="0.35">
      <c r="N249" t="s">
        <v>360</v>
      </c>
      <c r="O249" t="s">
        <v>360</v>
      </c>
      <c r="P249" t="s">
        <v>55</v>
      </c>
    </row>
    <row r="250" spans="14:16" x14ac:dyDescent="0.35">
      <c r="N250" t="s">
        <v>71</v>
      </c>
      <c r="O250" t="s">
        <v>71</v>
      </c>
      <c r="P250" t="s">
        <v>71</v>
      </c>
    </row>
    <row r="251" spans="14:16" x14ac:dyDescent="0.35">
      <c r="N251" t="s">
        <v>361</v>
      </c>
      <c r="O251" t="s">
        <v>361</v>
      </c>
      <c r="P251" t="s">
        <v>62</v>
      </c>
    </row>
    <row r="252" spans="14:16" x14ac:dyDescent="0.35">
      <c r="N252" t="s">
        <v>362</v>
      </c>
      <c r="O252" t="s">
        <v>362</v>
      </c>
      <c r="P252" t="s">
        <v>71</v>
      </c>
    </row>
    <row r="253" spans="14:16" x14ac:dyDescent="0.35">
      <c r="N253" t="s">
        <v>363</v>
      </c>
      <c r="O253" t="s">
        <v>363</v>
      </c>
      <c r="P253" t="s">
        <v>29</v>
      </c>
    </row>
    <row r="254" spans="14:16" x14ac:dyDescent="0.35">
      <c r="N254" t="s">
        <v>364</v>
      </c>
      <c r="O254" t="s">
        <v>364</v>
      </c>
      <c r="P254" t="s">
        <v>62</v>
      </c>
    </row>
    <row r="255" spans="14:16" x14ac:dyDescent="0.35">
      <c r="N255" t="s">
        <v>365</v>
      </c>
      <c r="O255" t="s">
        <v>365</v>
      </c>
      <c r="P255" t="s">
        <v>29</v>
      </c>
    </row>
    <row r="256" spans="14:16" x14ac:dyDescent="0.35">
      <c r="N256" t="s">
        <v>366</v>
      </c>
      <c r="O256" t="s">
        <v>366</v>
      </c>
      <c r="P256" t="s">
        <v>29</v>
      </c>
    </row>
    <row r="257" spans="14:16" x14ac:dyDescent="0.35">
      <c r="N257" t="s">
        <v>367</v>
      </c>
      <c r="O257" t="s">
        <v>367</v>
      </c>
      <c r="P257" t="s">
        <v>62</v>
      </c>
    </row>
    <row r="258" spans="14:16" x14ac:dyDescent="0.35">
      <c r="N258" t="s">
        <v>368</v>
      </c>
      <c r="O258" t="s">
        <v>368</v>
      </c>
      <c r="P258" t="s">
        <v>90</v>
      </c>
    </row>
    <row r="259" spans="14:16" x14ac:dyDescent="0.35">
      <c r="N259" t="s">
        <v>369</v>
      </c>
      <c r="O259" t="s">
        <v>369</v>
      </c>
      <c r="P259" t="s">
        <v>71</v>
      </c>
    </row>
    <row r="260" spans="14:16" x14ac:dyDescent="0.35">
      <c r="N260" t="s">
        <v>370</v>
      </c>
      <c r="O260" t="s">
        <v>370</v>
      </c>
      <c r="P260" t="s">
        <v>76</v>
      </c>
    </row>
    <row r="261" spans="14:16" x14ac:dyDescent="0.35">
      <c r="N261" t="s">
        <v>371</v>
      </c>
      <c r="O261" t="s">
        <v>371</v>
      </c>
      <c r="P261" t="s">
        <v>95</v>
      </c>
    </row>
    <row r="262" spans="14:16" x14ac:dyDescent="0.35">
      <c r="N262" t="s">
        <v>372</v>
      </c>
      <c r="O262" t="s">
        <v>372</v>
      </c>
      <c r="P262" t="s">
        <v>76</v>
      </c>
    </row>
    <row r="263" spans="14:16" x14ac:dyDescent="0.35">
      <c r="N263" t="s">
        <v>373</v>
      </c>
      <c r="O263" t="s">
        <v>373</v>
      </c>
      <c r="P263" t="s">
        <v>29</v>
      </c>
    </row>
    <row r="264" spans="14:16" x14ac:dyDescent="0.35">
      <c r="N264" t="s">
        <v>374</v>
      </c>
      <c r="O264" t="s">
        <v>374</v>
      </c>
      <c r="P264" t="s">
        <v>62</v>
      </c>
    </row>
    <row r="265" spans="14:16" x14ac:dyDescent="0.35">
      <c r="N265" t="s">
        <v>375</v>
      </c>
      <c r="O265" t="s">
        <v>375</v>
      </c>
      <c r="P265" t="s">
        <v>62</v>
      </c>
    </row>
    <row r="266" spans="14:16" x14ac:dyDescent="0.35">
      <c r="N266" t="s">
        <v>376</v>
      </c>
      <c r="O266" t="s">
        <v>376</v>
      </c>
      <c r="P266" t="s">
        <v>51</v>
      </c>
    </row>
    <row r="267" spans="14:16" x14ac:dyDescent="0.35">
      <c r="N267" t="s">
        <v>377</v>
      </c>
      <c r="O267" t="s">
        <v>377</v>
      </c>
      <c r="P267" t="s">
        <v>51</v>
      </c>
    </row>
    <row r="268" spans="14:16" x14ac:dyDescent="0.35">
      <c r="N268" t="s">
        <v>378</v>
      </c>
      <c r="O268" t="s">
        <v>378</v>
      </c>
      <c r="P268" t="s">
        <v>55</v>
      </c>
    </row>
    <row r="269" spans="14:16" x14ac:dyDescent="0.35">
      <c r="N269" t="s">
        <v>379</v>
      </c>
      <c r="O269" t="s">
        <v>379</v>
      </c>
      <c r="P269" t="s">
        <v>29</v>
      </c>
    </row>
    <row r="270" spans="14:16" x14ac:dyDescent="0.35">
      <c r="N270" t="s">
        <v>380</v>
      </c>
      <c r="O270" t="s">
        <v>380</v>
      </c>
      <c r="P270" t="s">
        <v>29</v>
      </c>
    </row>
    <row r="271" spans="14:16" x14ac:dyDescent="0.35">
      <c r="N271" t="s">
        <v>381</v>
      </c>
      <c r="O271" t="s">
        <v>381</v>
      </c>
      <c r="P271" t="s">
        <v>95</v>
      </c>
    </row>
    <row r="272" spans="14:16" x14ac:dyDescent="0.35">
      <c r="N272" t="s">
        <v>382</v>
      </c>
      <c r="O272" t="s">
        <v>382</v>
      </c>
      <c r="P272" t="s">
        <v>71</v>
      </c>
    </row>
    <row r="273" spans="14:16" x14ac:dyDescent="0.35">
      <c r="N273" t="s">
        <v>383</v>
      </c>
      <c r="O273" t="s">
        <v>383</v>
      </c>
      <c r="P273" t="s">
        <v>200</v>
      </c>
    </row>
    <row r="274" spans="14:16" x14ac:dyDescent="0.35">
      <c r="N274" t="s">
        <v>384</v>
      </c>
      <c r="O274" t="s">
        <v>384</v>
      </c>
      <c r="P274" t="s">
        <v>51</v>
      </c>
    </row>
    <row r="275" spans="14:16" x14ac:dyDescent="0.35">
      <c r="N275" t="s">
        <v>385</v>
      </c>
      <c r="O275" t="s">
        <v>385</v>
      </c>
      <c r="P275" t="s">
        <v>29</v>
      </c>
    </row>
    <row r="276" spans="14:16" x14ac:dyDescent="0.35">
      <c r="N276" t="s">
        <v>386</v>
      </c>
      <c r="O276" t="s">
        <v>386</v>
      </c>
      <c r="P276" t="s">
        <v>71</v>
      </c>
    </row>
    <row r="277" spans="14:16" x14ac:dyDescent="0.35">
      <c r="N277" t="s">
        <v>387</v>
      </c>
      <c r="O277" t="s">
        <v>387</v>
      </c>
      <c r="P277" t="s">
        <v>95</v>
      </c>
    </row>
    <row r="278" spans="14:16" x14ac:dyDescent="0.35">
      <c r="N278" t="s">
        <v>388</v>
      </c>
      <c r="O278" t="s">
        <v>388</v>
      </c>
      <c r="P278" t="s">
        <v>166</v>
      </c>
    </row>
    <row r="279" spans="14:16" x14ac:dyDescent="0.35">
      <c r="N279" t="s">
        <v>109</v>
      </c>
      <c r="O279" t="s">
        <v>109</v>
      </c>
      <c r="P279" t="s">
        <v>109</v>
      </c>
    </row>
    <row r="280" spans="14:16" x14ac:dyDescent="0.35">
      <c r="N280" t="s">
        <v>389</v>
      </c>
      <c r="O280" t="s">
        <v>389</v>
      </c>
      <c r="P280" t="s">
        <v>76</v>
      </c>
    </row>
    <row r="281" spans="14:16" x14ac:dyDescent="0.35">
      <c r="N281" t="s">
        <v>390</v>
      </c>
      <c r="O281" t="s">
        <v>390</v>
      </c>
      <c r="P281" t="s">
        <v>29</v>
      </c>
    </row>
    <row r="282" spans="14:16" x14ac:dyDescent="0.35">
      <c r="N282" t="s">
        <v>391</v>
      </c>
      <c r="O282" t="s">
        <v>391</v>
      </c>
      <c r="P282" t="s">
        <v>30</v>
      </c>
    </row>
    <row r="283" spans="14:16" x14ac:dyDescent="0.35">
      <c r="N283" t="s">
        <v>392</v>
      </c>
      <c r="O283" t="s">
        <v>392</v>
      </c>
      <c r="P283" t="s">
        <v>62</v>
      </c>
    </row>
    <row r="284" spans="14:16" x14ac:dyDescent="0.35">
      <c r="N284" t="s">
        <v>393</v>
      </c>
      <c r="O284" t="s">
        <v>393</v>
      </c>
      <c r="P284" t="s">
        <v>168</v>
      </c>
    </row>
    <row r="285" spans="14:16" x14ac:dyDescent="0.35">
      <c r="N285" t="s">
        <v>394</v>
      </c>
      <c r="O285" t="s">
        <v>394</v>
      </c>
      <c r="P285" t="s">
        <v>76</v>
      </c>
    </row>
    <row r="286" spans="14:16" x14ac:dyDescent="0.35">
      <c r="N286" t="s">
        <v>395</v>
      </c>
      <c r="O286" t="s">
        <v>395</v>
      </c>
      <c r="P286" t="s">
        <v>51</v>
      </c>
    </row>
    <row r="287" spans="14:16" x14ac:dyDescent="0.35">
      <c r="N287" t="s">
        <v>396</v>
      </c>
      <c r="O287" t="s">
        <v>396</v>
      </c>
      <c r="P287" t="s">
        <v>71</v>
      </c>
    </row>
    <row r="288" spans="14:16" x14ac:dyDescent="0.35">
      <c r="N288" t="s">
        <v>397</v>
      </c>
      <c r="O288" t="s">
        <v>397</v>
      </c>
      <c r="P288" t="s">
        <v>105</v>
      </c>
    </row>
    <row r="289" spans="14:16" x14ac:dyDescent="0.35">
      <c r="N289" t="s">
        <v>398</v>
      </c>
      <c r="O289" t="s">
        <v>398</v>
      </c>
      <c r="P289" t="s">
        <v>51</v>
      </c>
    </row>
    <row r="290" spans="14:16" x14ac:dyDescent="0.35">
      <c r="N290" t="s">
        <v>399</v>
      </c>
      <c r="O290" t="s">
        <v>399</v>
      </c>
      <c r="P290" t="s">
        <v>29</v>
      </c>
    </row>
    <row r="291" spans="14:16" x14ac:dyDescent="0.35">
      <c r="N291" t="s">
        <v>400</v>
      </c>
      <c r="O291" t="s">
        <v>400</v>
      </c>
      <c r="P291" t="s">
        <v>76</v>
      </c>
    </row>
    <row r="292" spans="14:16" x14ac:dyDescent="0.35">
      <c r="N292" t="s">
        <v>401</v>
      </c>
      <c r="O292" t="s">
        <v>401</v>
      </c>
      <c r="P292" t="s">
        <v>100</v>
      </c>
    </row>
    <row r="293" spans="14:16" x14ac:dyDescent="0.35">
      <c r="N293" t="s">
        <v>402</v>
      </c>
      <c r="O293" t="s">
        <v>402</v>
      </c>
      <c r="P293" t="s">
        <v>160</v>
      </c>
    </row>
    <row r="294" spans="14:16" x14ac:dyDescent="0.35">
      <c r="N294" t="s">
        <v>403</v>
      </c>
      <c r="O294" t="s">
        <v>403</v>
      </c>
      <c r="P294" t="s">
        <v>55</v>
      </c>
    </row>
    <row r="295" spans="14:16" x14ac:dyDescent="0.35">
      <c r="N295" t="s">
        <v>404</v>
      </c>
      <c r="O295" t="s">
        <v>404</v>
      </c>
      <c r="P295" t="s">
        <v>29</v>
      </c>
    </row>
    <row r="296" spans="14:16" x14ac:dyDescent="0.35">
      <c r="N296" t="s">
        <v>405</v>
      </c>
      <c r="O296" t="s">
        <v>405</v>
      </c>
      <c r="P296" t="s">
        <v>100</v>
      </c>
    </row>
    <row r="297" spans="14:16" x14ac:dyDescent="0.35">
      <c r="N297" t="s">
        <v>406</v>
      </c>
      <c r="O297" t="s">
        <v>406</v>
      </c>
      <c r="P297" t="s">
        <v>76</v>
      </c>
    </row>
    <row r="298" spans="14:16" x14ac:dyDescent="0.35">
      <c r="N298" t="s">
        <v>407</v>
      </c>
      <c r="O298" t="s">
        <v>407</v>
      </c>
      <c r="P298" t="s">
        <v>62</v>
      </c>
    </row>
    <row r="299" spans="14:16" x14ac:dyDescent="0.35">
      <c r="N299" t="s">
        <v>408</v>
      </c>
      <c r="O299" t="s">
        <v>408</v>
      </c>
      <c r="P299" t="s">
        <v>109</v>
      </c>
    </row>
    <row r="300" spans="14:16" x14ac:dyDescent="0.35">
      <c r="N300" t="s">
        <v>409</v>
      </c>
      <c r="O300" t="s">
        <v>409</v>
      </c>
      <c r="P300" t="s">
        <v>51</v>
      </c>
    </row>
    <row r="301" spans="14:16" x14ac:dyDescent="0.35">
      <c r="N301" t="s">
        <v>410</v>
      </c>
      <c r="O301" t="s">
        <v>410</v>
      </c>
      <c r="P301" t="s">
        <v>76</v>
      </c>
    </row>
    <row r="302" spans="14:16" x14ac:dyDescent="0.35">
      <c r="N302" t="s">
        <v>411</v>
      </c>
      <c r="O302" t="s">
        <v>411</v>
      </c>
      <c r="P302" t="s">
        <v>29</v>
      </c>
    </row>
    <row r="303" spans="14:16" x14ac:dyDescent="0.35">
      <c r="N303" t="s">
        <v>412</v>
      </c>
      <c r="O303" t="s">
        <v>412</v>
      </c>
      <c r="P303" t="s">
        <v>29</v>
      </c>
    </row>
    <row r="304" spans="14:16" x14ac:dyDescent="0.35">
      <c r="N304" t="s">
        <v>413</v>
      </c>
      <c r="O304" t="s">
        <v>413</v>
      </c>
      <c r="P304" t="s">
        <v>151</v>
      </c>
    </row>
    <row r="305" spans="14:16" x14ac:dyDescent="0.35">
      <c r="N305" t="s">
        <v>414</v>
      </c>
      <c r="O305" t="s">
        <v>414</v>
      </c>
      <c r="P305" t="s">
        <v>71</v>
      </c>
    </row>
    <row r="306" spans="14:16" x14ac:dyDescent="0.35">
      <c r="N306" t="s">
        <v>415</v>
      </c>
      <c r="O306" t="s">
        <v>415</v>
      </c>
      <c r="P306" t="s">
        <v>62</v>
      </c>
    </row>
    <row r="307" spans="14:16" x14ac:dyDescent="0.35">
      <c r="N307" t="s">
        <v>416</v>
      </c>
      <c r="O307" t="s">
        <v>416</v>
      </c>
      <c r="P307" t="s">
        <v>151</v>
      </c>
    </row>
    <row r="308" spans="14:16" x14ac:dyDescent="0.35">
      <c r="N308" t="s">
        <v>417</v>
      </c>
      <c r="O308" t="s">
        <v>417</v>
      </c>
      <c r="P308" t="s">
        <v>55</v>
      </c>
    </row>
    <row r="309" spans="14:16" x14ac:dyDescent="0.35">
      <c r="N309" t="s">
        <v>418</v>
      </c>
      <c r="O309" t="s">
        <v>418</v>
      </c>
      <c r="P309" t="s">
        <v>95</v>
      </c>
    </row>
    <row r="310" spans="14:16" x14ac:dyDescent="0.35">
      <c r="N310" t="s">
        <v>419</v>
      </c>
      <c r="O310" t="s">
        <v>419</v>
      </c>
      <c r="P310" t="s">
        <v>29</v>
      </c>
    </row>
    <row r="311" spans="14:16" x14ac:dyDescent="0.35">
      <c r="N311" t="s">
        <v>420</v>
      </c>
      <c r="O311" t="s">
        <v>420</v>
      </c>
      <c r="P311" t="s">
        <v>95</v>
      </c>
    </row>
    <row r="312" spans="14:16" x14ac:dyDescent="0.35">
      <c r="N312" t="s">
        <v>421</v>
      </c>
      <c r="O312" t="s">
        <v>421</v>
      </c>
      <c r="P312" t="s">
        <v>105</v>
      </c>
    </row>
    <row r="313" spans="14:16" x14ac:dyDescent="0.35">
      <c r="N313" t="s">
        <v>422</v>
      </c>
      <c r="O313" t="s">
        <v>422</v>
      </c>
      <c r="P313" t="s">
        <v>76</v>
      </c>
    </row>
    <row r="314" spans="14:16" x14ac:dyDescent="0.35">
      <c r="N314" t="s">
        <v>423</v>
      </c>
      <c r="O314" t="s">
        <v>423</v>
      </c>
      <c r="P314" t="s">
        <v>71</v>
      </c>
    </row>
    <row r="315" spans="14:16" x14ac:dyDescent="0.35">
      <c r="N315" t="s">
        <v>424</v>
      </c>
      <c r="O315" t="s">
        <v>424</v>
      </c>
      <c r="P315" t="s">
        <v>51</v>
      </c>
    </row>
    <row r="316" spans="14:16" x14ac:dyDescent="0.35">
      <c r="N316" t="s">
        <v>425</v>
      </c>
      <c r="O316" t="s">
        <v>425</v>
      </c>
      <c r="P316" t="s">
        <v>71</v>
      </c>
    </row>
    <row r="317" spans="14:16" x14ac:dyDescent="0.35">
      <c r="N317" t="s">
        <v>426</v>
      </c>
      <c r="O317" t="s">
        <v>426</v>
      </c>
      <c r="P317" t="s">
        <v>51</v>
      </c>
    </row>
    <row r="318" spans="14:16" x14ac:dyDescent="0.35">
      <c r="N318" t="s">
        <v>427</v>
      </c>
      <c r="O318" t="s">
        <v>427</v>
      </c>
      <c r="P318" t="s">
        <v>29</v>
      </c>
    </row>
    <row r="319" spans="14:16" x14ac:dyDescent="0.35">
      <c r="N319" t="s">
        <v>428</v>
      </c>
      <c r="O319" t="s">
        <v>428</v>
      </c>
      <c r="P319" t="s">
        <v>100</v>
      </c>
    </row>
    <row r="320" spans="14:16" x14ac:dyDescent="0.35">
      <c r="N320" t="s">
        <v>429</v>
      </c>
      <c r="O320" t="s">
        <v>429</v>
      </c>
      <c r="P320" t="s">
        <v>109</v>
      </c>
    </row>
    <row r="321" spans="14:16" x14ac:dyDescent="0.35">
      <c r="N321" t="s">
        <v>430</v>
      </c>
      <c r="O321" t="s">
        <v>430</v>
      </c>
      <c r="P321" t="s">
        <v>76</v>
      </c>
    </row>
    <row r="322" spans="14:16" x14ac:dyDescent="0.35">
      <c r="N322" t="s">
        <v>431</v>
      </c>
      <c r="O322" t="s">
        <v>431</v>
      </c>
      <c r="P322" t="s">
        <v>105</v>
      </c>
    </row>
    <row r="323" spans="14:16" x14ac:dyDescent="0.35">
      <c r="N323" t="s">
        <v>432</v>
      </c>
      <c r="O323" t="s">
        <v>432</v>
      </c>
      <c r="P323" t="s">
        <v>62</v>
      </c>
    </row>
    <row r="324" spans="14:16" x14ac:dyDescent="0.35">
      <c r="N324" t="s">
        <v>433</v>
      </c>
      <c r="O324" t="s">
        <v>433</v>
      </c>
      <c r="P324" t="s">
        <v>62</v>
      </c>
    </row>
    <row r="325" spans="14:16" x14ac:dyDescent="0.35">
      <c r="N325" t="s">
        <v>434</v>
      </c>
      <c r="O325" t="s">
        <v>434</v>
      </c>
      <c r="P325" t="s">
        <v>71</v>
      </c>
    </row>
    <row r="326" spans="14:16" x14ac:dyDescent="0.35">
      <c r="N326" t="s">
        <v>435</v>
      </c>
      <c r="O326" t="s">
        <v>435</v>
      </c>
      <c r="P326" t="s">
        <v>71</v>
      </c>
    </row>
    <row r="327" spans="14:16" x14ac:dyDescent="0.35">
      <c r="N327" t="s">
        <v>436</v>
      </c>
      <c r="O327" t="s">
        <v>436</v>
      </c>
      <c r="P327" t="s">
        <v>168</v>
      </c>
    </row>
    <row r="328" spans="14:16" x14ac:dyDescent="0.35">
      <c r="N328" t="s">
        <v>437</v>
      </c>
      <c r="O328" t="s">
        <v>437</v>
      </c>
      <c r="P328" t="s">
        <v>105</v>
      </c>
    </row>
    <row r="329" spans="14:16" x14ac:dyDescent="0.35">
      <c r="N329" t="s">
        <v>438</v>
      </c>
      <c r="O329" t="s">
        <v>438</v>
      </c>
      <c r="P329" t="s">
        <v>30</v>
      </c>
    </row>
    <row r="330" spans="14:16" x14ac:dyDescent="0.35">
      <c r="N330" t="s">
        <v>439</v>
      </c>
      <c r="O330" t="s">
        <v>439</v>
      </c>
      <c r="P330" t="s">
        <v>30</v>
      </c>
    </row>
    <row r="331" spans="14:16" x14ac:dyDescent="0.35">
      <c r="N331" t="s">
        <v>440</v>
      </c>
      <c r="O331" t="s">
        <v>440</v>
      </c>
      <c r="P331" t="s">
        <v>76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270" r:id="rId4" name="AddButton">
              <controlPr defaultSize="0" print="0" autoFill="0" autoPict="0" macro="[0]!AddRow">
                <anchor moveWithCells="1" sizeWithCells="1">
                  <from>
                    <xdr:col>0</xdr:col>
                    <xdr:colOff>508000</xdr:colOff>
                    <xdr:row>4</xdr:row>
                    <xdr:rowOff>12700</xdr:rowOff>
                  </from>
                  <to>
                    <xdr:col>1</xdr:col>
                    <xdr:colOff>203200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271" r:id="rId5" name="DeleteButton">
              <controlPr defaultSize="0" print="0" autoFill="0" autoPict="0" macro="[0]!DeleteRow">
                <anchor moveWithCells="1" sizeWithCells="1">
                  <from>
                    <xdr:col>1</xdr:col>
                    <xdr:colOff>228600</xdr:colOff>
                    <xdr:row>4</xdr:row>
                    <xdr:rowOff>12700</xdr:rowOff>
                  </from>
                  <to>
                    <xdr:col>1</xdr:col>
                    <xdr:colOff>990600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0EFFE-30D6-459A-B702-DD39D71AFFC8}">
  <sheetPr codeName="Sheet4"/>
  <dimension ref="A1"/>
  <sheetViews>
    <sheetView workbookViewId="0">
      <selection activeCell="B3" sqref="B3"/>
    </sheetView>
  </sheetViews>
  <sheetFormatPr defaultRowHeight="14.5" x14ac:dyDescent="0.35"/>
  <sheetData/>
  <sheetProtection algorithmName="SHA-512" hashValue="vrK1xYyYGiyb3EVkLzQAZIizBHExav0HcaLw8eCOXywdex+7t7C+26CpOXP7Ubr0VAh+sfbxmzlRUbar1cVdWA==" saltValue="C+aa+eizqZf8bBgDZGN3qQ==" spinCount="100000" sheet="1" formatCells="0" formatColumns="0" formatRows="0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0716" r:id="rId3" name="ComboBox1">
          <controlPr defaultSize="0" autoLine="0" r:id="rId4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19050</xdr:colOff>
                <xdr:row>20</xdr:row>
                <xdr:rowOff>19050</xdr:rowOff>
              </to>
            </anchor>
          </controlPr>
        </control>
      </mc:Choice>
      <mc:Fallback>
        <control shapeId="70716" r:id="rId3" name="ComboBox1"/>
      </mc:Fallback>
    </mc:AlternateContent>
    <mc:AlternateContent xmlns:mc="http://schemas.openxmlformats.org/markup-compatibility/2006">
      <mc:Choice Requires="x14">
        <control shapeId="70717" r:id="rId5" name="AddButton">
          <controlPr defaultSize="0" print="0" autoFill="0" autoPict="0" macro="[0]!AddRow">
            <anchor moveWithCells="1" sizeWithCells="1">
              <from>
                <xdr:col>0</xdr:col>
                <xdr:colOff>508000</xdr:colOff>
                <xdr:row>4</xdr:row>
                <xdr:rowOff>127000</xdr:rowOff>
              </from>
              <to>
                <xdr:col>2</xdr:col>
                <xdr:colOff>50800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718" r:id="rId6" name="DeleteButton">
          <controlPr defaultSize="0" print="0" autoFill="0" autoPict="0" macro="[0]!DeleteRow">
            <anchor moveWithCells="1" sizeWithCells="1">
              <from>
                <xdr:col>2</xdr:col>
                <xdr:colOff>76200</xdr:colOff>
                <xdr:row>4</xdr:row>
                <xdr:rowOff>127000</xdr:rowOff>
              </from>
              <to>
                <xdr:col>3</xdr:col>
                <xdr:colOff>228600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57254-5783-4DF4-9D18-25548FF6DD65}">
  <sheetPr codeName="Sheet6"/>
  <dimension ref="A1"/>
  <sheetViews>
    <sheetView workbookViewId="0">
      <selection activeCell="B3" sqref="B3"/>
    </sheetView>
  </sheetViews>
  <sheetFormatPr defaultRowHeight="14.5" x14ac:dyDescent="0.35"/>
  <sheetData/>
  <sheetProtection algorithmName="SHA-512" hashValue="Xa0Q39pkqIJcnuwHrIXnOi4RLVnwnG/taHl/EKplWQWhNv0V4kvMPXbRDoKpX3xsW+hdafLdJAl7hme6nhDRfQ==" saltValue="MORPzizis7UUOZQMOgzZZA==" spinCount="100000" sheet="1" formatCells="0" formatColumns="0" formatRows="0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2744" r:id="rId3" name="ComboBox1">
          <controlPr defaultSize="0" autoLine="0" r:id="rId4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19050</xdr:colOff>
                <xdr:row>20</xdr:row>
                <xdr:rowOff>19050</xdr:rowOff>
              </to>
            </anchor>
          </controlPr>
        </control>
      </mc:Choice>
      <mc:Fallback>
        <control shapeId="72744" r:id="rId3" name="ComboBox1"/>
      </mc:Fallback>
    </mc:AlternateContent>
    <mc:AlternateContent xmlns:mc="http://schemas.openxmlformats.org/markup-compatibility/2006">
      <mc:Choice Requires="x14">
        <control shapeId="72745" r:id="rId5" name="AddButton">
          <controlPr defaultSize="0" print="0" autoFill="0" autoPict="0" macro="[0]!AddRow">
            <anchor moveWithCells="1" sizeWithCells="1">
              <from>
                <xdr:col>0</xdr:col>
                <xdr:colOff>508000</xdr:colOff>
                <xdr:row>4</xdr:row>
                <xdr:rowOff>127000</xdr:rowOff>
              </from>
              <to>
                <xdr:col>2</xdr:col>
                <xdr:colOff>50800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46" r:id="rId6" name="DeleteButton">
          <controlPr defaultSize="0" print="0" autoFill="0" autoPict="0" macro="[0]!DeleteRow">
            <anchor moveWithCells="1" sizeWithCells="1">
              <from>
                <xdr:col>2</xdr:col>
                <xdr:colOff>76200</xdr:colOff>
                <xdr:row>4</xdr:row>
                <xdr:rowOff>127000</xdr:rowOff>
              </from>
              <to>
                <xdr:col>3</xdr:col>
                <xdr:colOff>228600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54F02-4970-44F3-AF96-42334816F8CC}">
  <sheetPr codeName="Sheet5"/>
  <dimension ref="A1"/>
  <sheetViews>
    <sheetView workbookViewId="0">
      <selection activeCell="B3" sqref="B3"/>
    </sheetView>
  </sheetViews>
  <sheetFormatPr defaultRowHeight="14.5" x14ac:dyDescent="0.35"/>
  <sheetData/>
  <sheetProtection algorithmName="SHA-512" hashValue="6Um5ZH/YrMcALK9QJvD39+cOjUD9rBrtKjczPZkrSCSRn1P9b/Bsy8XgJdhRc1PqA+eiQ8AIYDeTCoqc6Zs/hg==" saltValue="yYNnrwJiJoCq18aNe5Q8aw==" spinCount="100000" sheet="1" formatCells="0" formatColumns="0" formatRows="0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12" r:id="rId3" name="ComboBox1">
          <controlPr defaultSize="0" autoLine="0" r:id="rId4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19050</xdr:colOff>
                <xdr:row>20</xdr:row>
                <xdr:rowOff>19050</xdr:rowOff>
              </to>
            </anchor>
          </controlPr>
        </control>
      </mc:Choice>
      <mc:Fallback>
        <control shapeId="71712" r:id="rId3" name="ComboBox1"/>
      </mc:Fallback>
    </mc:AlternateContent>
    <mc:AlternateContent xmlns:mc="http://schemas.openxmlformats.org/markup-compatibility/2006">
      <mc:Choice Requires="x14">
        <control shapeId="71713" r:id="rId5" name="AddButton">
          <controlPr defaultSize="0" print="0" autoFill="0" autoPict="0" macro="[0]!AddRow">
            <anchor moveWithCells="1" sizeWithCells="1">
              <from>
                <xdr:col>0</xdr:col>
                <xdr:colOff>508000</xdr:colOff>
                <xdr:row>4</xdr:row>
                <xdr:rowOff>127000</xdr:rowOff>
              </from>
              <to>
                <xdr:col>2</xdr:col>
                <xdr:colOff>50800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14" r:id="rId6" name="DeleteButton">
          <controlPr defaultSize="0" print="0" autoFill="0" autoPict="0" macro="[0]!DeleteRow">
            <anchor moveWithCells="1" sizeWithCells="1">
              <from>
                <xdr:col>2</xdr:col>
                <xdr:colOff>76200</xdr:colOff>
                <xdr:row>4</xdr:row>
                <xdr:rowOff>127000</xdr:rowOff>
              </from>
              <to>
                <xdr:col>3</xdr:col>
                <xdr:colOff>228600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E8B58-2389-4958-8473-9C360BC59F34}">
  <sheetPr codeName="Sheet3"/>
  <dimension ref="A3:A100"/>
  <sheetViews>
    <sheetView workbookViewId="0">
      <selection activeCell="G13" sqref="G13"/>
    </sheetView>
  </sheetViews>
  <sheetFormatPr defaultRowHeight="14.5" x14ac:dyDescent="0.35"/>
  <cols>
    <col min="1" max="1" width="31.54296875" customWidth="1"/>
  </cols>
  <sheetData>
    <row r="3" spans="1:1" x14ac:dyDescent="0.35">
      <c r="A3" t="s">
        <v>43</v>
      </c>
    </row>
    <row r="4" spans="1:1" ht="22" customHeight="1" x14ac:dyDescent="0.35">
      <c r="A4" t="s">
        <v>441</v>
      </c>
    </row>
    <row r="5" spans="1:1" ht="22" customHeight="1" x14ac:dyDescent="0.35">
      <c r="A5" t="s">
        <v>76</v>
      </c>
    </row>
    <row r="6" spans="1:1" ht="22" customHeight="1" x14ac:dyDescent="0.35">
      <c r="A6" t="s">
        <v>442</v>
      </c>
    </row>
    <row r="7" spans="1:1" ht="22" customHeight="1" x14ac:dyDescent="0.35">
      <c r="A7" t="s">
        <v>443</v>
      </c>
    </row>
    <row r="8" spans="1:1" ht="22" customHeight="1" x14ac:dyDescent="0.35">
      <c r="A8" t="s">
        <v>58</v>
      </c>
    </row>
    <row r="9" spans="1:1" ht="22" customHeight="1" x14ac:dyDescent="0.35">
      <c r="A9" t="s">
        <v>40</v>
      </c>
    </row>
    <row r="10" spans="1:1" ht="22" customHeight="1" x14ac:dyDescent="0.35">
      <c r="A10" t="s">
        <v>444</v>
      </c>
    </row>
    <row r="11" spans="1:1" ht="22" customHeight="1" x14ac:dyDescent="0.35">
      <c r="A11" t="s">
        <v>59</v>
      </c>
    </row>
    <row r="12" spans="1:1" ht="22" customHeight="1" x14ac:dyDescent="0.35">
      <c r="A12" t="s">
        <v>445</v>
      </c>
    </row>
    <row r="13" spans="1:1" ht="22" customHeight="1" x14ac:dyDescent="0.35">
      <c r="A13" t="s">
        <v>446</v>
      </c>
    </row>
    <row r="14" spans="1:1" ht="22" customHeight="1" x14ac:dyDescent="0.35">
      <c r="A14" t="s">
        <v>183</v>
      </c>
    </row>
    <row r="15" spans="1:1" ht="22" customHeight="1" x14ac:dyDescent="0.35">
      <c r="A15" t="s">
        <v>184</v>
      </c>
    </row>
    <row r="16" spans="1:1" ht="22" customHeight="1" x14ac:dyDescent="0.35">
      <c r="A16" t="s">
        <v>447</v>
      </c>
    </row>
    <row r="17" spans="1:1" ht="22" customHeight="1" x14ac:dyDescent="0.35">
      <c r="A17" t="s">
        <v>448</v>
      </c>
    </row>
    <row r="18" spans="1:1" ht="22" customHeight="1" x14ac:dyDescent="0.35">
      <c r="A18" t="s">
        <v>449</v>
      </c>
    </row>
    <row r="19" spans="1:1" ht="22" customHeight="1" x14ac:dyDescent="0.35">
      <c r="A19" t="s">
        <v>450</v>
      </c>
    </row>
    <row r="20" spans="1:1" ht="22" customHeight="1" x14ac:dyDescent="0.35">
      <c r="A20" t="s">
        <v>228</v>
      </c>
    </row>
    <row r="21" spans="1:1" ht="22" customHeight="1" x14ac:dyDescent="0.35">
      <c r="A21" t="s">
        <v>231</v>
      </c>
    </row>
    <row r="22" spans="1:1" ht="22" customHeight="1" x14ac:dyDescent="0.35">
      <c r="A22" t="s">
        <v>84</v>
      </c>
    </row>
    <row r="23" spans="1:1" ht="22" customHeight="1" x14ac:dyDescent="0.35">
      <c r="A23" t="s">
        <v>451</v>
      </c>
    </row>
    <row r="24" spans="1:1" ht="22" customHeight="1" x14ac:dyDescent="0.35">
      <c r="A24" t="s">
        <v>51</v>
      </c>
    </row>
    <row r="25" spans="1:1" ht="22" customHeight="1" x14ac:dyDescent="0.35">
      <c r="A25" t="s">
        <v>256</v>
      </c>
    </row>
    <row r="26" spans="1:1" ht="22" customHeight="1" x14ac:dyDescent="0.35">
      <c r="A26" t="s">
        <v>452</v>
      </c>
    </row>
    <row r="27" spans="1:1" ht="22" customHeight="1" x14ac:dyDescent="0.35">
      <c r="A27" t="s">
        <v>453</v>
      </c>
    </row>
    <row r="28" spans="1:1" ht="22" customHeight="1" x14ac:dyDescent="0.35">
      <c r="A28" t="s">
        <v>289</v>
      </c>
    </row>
    <row r="29" spans="1:1" ht="22" customHeight="1" x14ac:dyDescent="0.35">
      <c r="A29" t="s">
        <v>111</v>
      </c>
    </row>
    <row r="30" spans="1:1" ht="22" customHeight="1" x14ac:dyDescent="0.35">
      <c r="A30" t="s">
        <v>293</v>
      </c>
    </row>
    <row r="31" spans="1:1" ht="22" customHeight="1" x14ac:dyDescent="0.35">
      <c r="A31" t="s">
        <v>454</v>
      </c>
    </row>
    <row r="32" spans="1:1" ht="22" customHeight="1" x14ac:dyDescent="0.35">
      <c r="A32" t="s">
        <v>115</v>
      </c>
    </row>
    <row r="33" spans="1:1" ht="22" customHeight="1" x14ac:dyDescent="0.35">
      <c r="A33" t="s">
        <v>455</v>
      </c>
    </row>
    <row r="34" spans="1:1" ht="22" customHeight="1" x14ac:dyDescent="0.35">
      <c r="A34" t="s">
        <v>456</v>
      </c>
    </row>
    <row r="35" spans="1:1" ht="22" customHeight="1" x14ac:dyDescent="0.35">
      <c r="A35" t="s">
        <v>457</v>
      </c>
    </row>
    <row r="36" spans="1:1" ht="22" customHeight="1" x14ac:dyDescent="0.35">
      <c r="A36" t="s">
        <v>458</v>
      </c>
    </row>
    <row r="37" spans="1:1" ht="22" customHeight="1" x14ac:dyDescent="0.35">
      <c r="A37" t="s">
        <v>459</v>
      </c>
    </row>
    <row r="38" spans="1:1" ht="22" customHeight="1" x14ac:dyDescent="0.35">
      <c r="A38" t="s">
        <v>460</v>
      </c>
    </row>
    <row r="39" spans="1:1" ht="22" customHeight="1" x14ac:dyDescent="0.35">
      <c r="A39" t="s">
        <v>461</v>
      </c>
    </row>
    <row r="40" spans="1:1" ht="22" customHeight="1" x14ac:dyDescent="0.35">
      <c r="A40" t="s">
        <v>130</v>
      </c>
    </row>
    <row r="41" spans="1:1" ht="22" customHeight="1" x14ac:dyDescent="0.35">
      <c r="A41" t="s">
        <v>462</v>
      </c>
    </row>
    <row r="42" spans="1:1" ht="22" customHeight="1" x14ac:dyDescent="0.35">
      <c r="A42" t="s">
        <v>347</v>
      </c>
    </row>
    <row r="43" spans="1:1" ht="22" customHeight="1" x14ac:dyDescent="0.35">
      <c r="A43" t="s">
        <v>463</v>
      </c>
    </row>
    <row r="44" spans="1:1" ht="22" customHeight="1" x14ac:dyDescent="0.35">
      <c r="A44" t="s">
        <v>464</v>
      </c>
    </row>
    <row r="45" spans="1:1" ht="22" customHeight="1" x14ac:dyDescent="0.35">
      <c r="A45" t="s">
        <v>465</v>
      </c>
    </row>
    <row r="46" spans="1:1" ht="22" customHeight="1" x14ac:dyDescent="0.35">
      <c r="A46" t="s">
        <v>136</v>
      </c>
    </row>
    <row r="47" spans="1:1" ht="22" customHeight="1" x14ac:dyDescent="0.35">
      <c r="A47" t="s">
        <v>356</v>
      </c>
    </row>
    <row r="48" spans="1:1" ht="22" customHeight="1" x14ac:dyDescent="0.35">
      <c r="A48" t="s">
        <v>71</v>
      </c>
    </row>
    <row r="49" spans="1:1" ht="22" customHeight="1" x14ac:dyDescent="0.35">
      <c r="A49" t="s">
        <v>369</v>
      </c>
    </row>
    <row r="50" spans="1:1" ht="22" customHeight="1" x14ac:dyDescent="0.35">
      <c r="A50" t="s">
        <v>378</v>
      </c>
    </row>
    <row r="51" spans="1:1" ht="22" customHeight="1" x14ac:dyDescent="0.35">
      <c r="A51" t="s">
        <v>466</v>
      </c>
    </row>
    <row r="52" spans="1:1" ht="22" customHeight="1" x14ac:dyDescent="0.35">
      <c r="A52" t="s">
        <v>393</v>
      </c>
    </row>
    <row r="53" spans="1:1" ht="22" customHeight="1" x14ac:dyDescent="0.35">
      <c r="A53" t="s">
        <v>394</v>
      </c>
    </row>
    <row r="54" spans="1:1" ht="22" customHeight="1" x14ac:dyDescent="0.35">
      <c r="A54" t="s">
        <v>403</v>
      </c>
    </row>
    <row r="55" spans="1:1" ht="22" customHeight="1" x14ac:dyDescent="0.35">
      <c r="A55" t="s">
        <v>467</v>
      </c>
    </row>
    <row r="56" spans="1:1" ht="22" customHeight="1" x14ac:dyDescent="0.35">
      <c r="A56" t="s">
        <v>468</v>
      </c>
    </row>
    <row r="57" spans="1:1" ht="22" customHeight="1" x14ac:dyDescent="0.35">
      <c r="A57" t="s">
        <v>29</v>
      </c>
    </row>
    <row r="58" spans="1:1" ht="22" customHeight="1" x14ac:dyDescent="0.35"/>
    <row r="59" spans="1:1" ht="22" customHeight="1" x14ac:dyDescent="0.35"/>
    <row r="60" spans="1:1" ht="22" customHeight="1" x14ac:dyDescent="0.35"/>
    <row r="61" spans="1:1" ht="22" customHeight="1" x14ac:dyDescent="0.35"/>
    <row r="62" spans="1:1" ht="22" customHeight="1" x14ac:dyDescent="0.35"/>
    <row r="63" spans="1:1" ht="22" customHeight="1" x14ac:dyDescent="0.35"/>
    <row r="64" spans="1:1" ht="22" customHeight="1" x14ac:dyDescent="0.35"/>
    <row r="65" ht="22" customHeight="1" x14ac:dyDescent="0.35"/>
    <row r="66" ht="22" customHeight="1" x14ac:dyDescent="0.35"/>
    <row r="67" ht="22" customHeight="1" x14ac:dyDescent="0.35"/>
    <row r="68" ht="22" customHeight="1" x14ac:dyDescent="0.35"/>
    <row r="69" ht="22" customHeight="1" x14ac:dyDescent="0.35"/>
    <row r="70" ht="22" customHeight="1" x14ac:dyDescent="0.35"/>
    <row r="71" ht="22" customHeight="1" x14ac:dyDescent="0.35"/>
    <row r="72" ht="22" customHeight="1" x14ac:dyDescent="0.35"/>
    <row r="73" ht="22" customHeight="1" x14ac:dyDescent="0.35"/>
    <row r="74" ht="22" customHeight="1" x14ac:dyDescent="0.35"/>
    <row r="75" ht="22" customHeight="1" x14ac:dyDescent="0.35"/>
    <row r="76" ht="22" customHeight="1" x14ac:dyDescent="0.35"/>
    <row r="77" ht="22" customHeight="1" x14ac:dyDescent="0.35"/>
    <row r="78" ht="22" customHeight="1" x14ac:dyDescent="0.35"/>
    <row r="79" ht="22" customHeight="1" x14ac:dyDescent="0.35"/>
    <row r="80" ht="22" customHeight="1" x14ac:dyDescent="0.35"/>
    <row r="81" ht="22" customHeight="1" x14ac:dyDescent="0.35"/>
    <row r="82" ht="22" customHeight="1" x14ac:dyDescent="0.35"/>
    <row r="83" ht="22" customHeight="1" x14ac:dyDescent="0.35"/>
    <row r="84" ht="22" customHeight="1" x14ac:dyDescent="0.35"/>
    <row r="85" ht="22" customHeight="1" x14ac:dyDescent="0.35"/>
    <row r="86" ht="22" customHeight="1" x14ac:dyDescent="0.35"/>
    <row r="87" ht="22" customHeight="1" x14ac:dyDescent="0.35"/>
    <row r="88" ht="22" customHeight="1" x14ac:dyDescent="0.35"/>
    <row r="89" ht="22" customHeight="1" x14ac:dyDescent="0.35"/>
    <row r="90" ht="22" customHeight="1" x14ac:dyDescent="0.35"/>
    <row r="91" ht="22" customHeight="1" x14ac:dyDescent="0.35"/>
    <row r="92" ht="22" customHeight="1" x14ac:dyDescent="0.35"/>
    <row r="93" ht="22" customHeight="1" x14ac:dyDescent="0.35"/>
    <row r="94" ht="22" customHeight="1" x14ac:dyDescent="0.35"/>
    <row r="95" ht="22" customHeight="1" x14ac:dyDescent="0.35"/>
    <row r="96" ht="22" customHeight="1" x14ac:dyDescent="0.35"/>
    <row r="97" ht="22" customHeight="1" x14ac:dyDescent="0.35"/>
    <row r="98" ht="22" customHeight="1" x14ac:dyDescent="0.35"/>
    <row r="99" ht="22" customHeight="1" x14ac:dyDescent="0.35"/>
    <row r="100" ht="22" customHeight="1" x14ac:dyDescent="0.35"/>
  </sheetData>
  <sheetProtection algorithmName="SHA-512" hashValue="tBdmEJoNbt5rtyQ1vbytDw130gNaCD9pjg3QndjE2D0sZInzo6GXsGiTNmCwqF2fmWCXly21l/kFfnikFGqARA==" saltValue="UxujfKASxaTAcve4+QkM4A==" spinCount="100000" sheet="1" formatCells="0" formatColumns="0" formatRows="0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9676" r:id="rId4" name="ComboBox1">
          <controlPr defaultSize="0" autoLine="0" r:id="rId5">
            <anchor moveWithCells="1">
              <from>
                <xdr:col>0</xdr:col>
                <xdr:colOff>0</xdr:colOff>
                <xdr:row>14</xdr:row>
                <xdr:rowOff>203200</xdr:rowOff>
              </from>
              <to>
                <xdr:col>0</xdr:col>
                <xdr:colOff>19050</xdr:colOff>
                <xdr:row>14</xdr:row>
                <xdr:rowOff>222250</xdr:rowOff>
              </to>
            </anchor>
          </controlPr>
        </control>
      </mc:Choice>
      <mc:Fallback>
        <control shapeId="69676" r:id="rId4" name="ComboBox1"/>
      </mc:Fallback>
    </mc:AlternateContent>
    <mc:AlternateContent xmlns:mc="http://schemas.openxmlformats.org/markup-compatibility/2006">
      <mc:Choice Requires="x14">
        <control shapeId="69677" r:id="rId6" name="AddButton">
          <controlPr defaultSize="0" print="0" autoFill="0" autoPict="0" macro="[0]!AddRow">
            <anchor moveWithCells="1" sizeWithCells="1">
              <from>
                <xdr:col>0</xdr:col>
                <xdr:colOff>508000</xdr:colOff>
                <xdr:row>4</xdr:row>
                <xdr:rowOff>38100</xdr:rowOff>
              </from>
              <to>
                <xdr:col>0</xdr:col>
                <xdr:colOff>1270000</xdr:colOff>
                <xdr:row>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678" r:id="rId7" name="DeleteButton">
          <controlPr defaultSize="0" print="0" autoFill="0" autoPict="0" macro="[0]!DeleteRow">
            <anchor moveWithCells="1" sizeWithCells="1">
              <from>
                <xdr:col>0</xdr:col>
                <xdr:colOff>1295400</xdr:colOff>
                <xdr:row>4</xdr:row>
                <xdr:rowOff>38100</xdr:rowOff>
              </from>
              <to>
                <xdr:col>0</xdr:col>
                <xdr:colOff>2057400</xdr:colOff>
                <xdr:row>5</xdr:row>
                <xdr:rowOff>38100</xdr:rowOff>
              </to>
            </anchor>
          </controlPr>
        </control>
      </mc:Choice>
    </mc:AlternateContent>
  </controls>
  <tableParts count="1"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0F7DC4C4297FC4694E82A52CBC96047" ma:contentTypeVersion="13" ma:contentTypeDescription="Create a new document." ma:contentTypeScope="" ma:versionID="efbb420f333b61c93f491d776752970b">
  <xsd:schema xmlns:xsd="http://www.w3.org/2001/XMLSchema" xmlns:xs="http://www.w3.org/2001/XMLSchema" xmlns:p="http://schemas.microsoft.com/office/2006/metadata/properties" xmlns:ns2="9bf689fe-07bd-4467-8709-9bc57b742c1b" xmlns:ns3="eed9ec02-eba0-407f-8ed5-67828f218cb2" targetNamespace="http://schemas.microsoft.com/office/2006/metadata/properties" ma:root="true" ma:fieldsID="529dbb1fa9794438a6cd0751d3382862" ns2:_="" ns3:_="">
    <xsd:import namespace="9bf689fe-07bd-4467-8709-9bc57b742c1b"/>
    <xsd:import namespace="eed9ec02-eba0-407f-8ed5-67828f218cb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f689fe-07bd-4467-8709-9bc57b742c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019ad87-0772-4aa4-8d85-3d29386a156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d9ec02-eba0-407f-8ed5-67828f218cb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e4419fa-6c9d-4c43-84fe-24ada89179ed}" ma:internalName="TaxCatchAll" ma:showField="CatchAllData" ma:web="eed9ec02-eba0-407f-8ed5-67828f218c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ed9ec02-eba0-407f-8ed5-67828f218cb2" xsi:nil="true"/>
    <lcf76f155ced4ddcb4097134ff3c332f xmlns="9bf689fe-07bd-4467-8709-9bc57b742c1b">
      <Terms xmlns="http://schemas.microsoft.com/office/infopath/2007/PartnerControls"/>
    </lcf76f155ced4ddcb4097134ff3c332f>
  </documentManagement>
</p:properties>
</file>

<file path=customXml/item4.xml>�� 
</file>

<file path=customXml/itemProps1.xml><?xml version="1.0" encoding="utf-8"?>
<ds:datastoreItem xmlns:ds="http://schemas.openxmlformats.org/officeDocument/2006/customXml" ds:itemID="{7259808B-B50D-480B-8EDA-572E0BC257AE}"/>
</file>

<file path=customXml/itemProps2.xml><?xml version="1.0" encoding="utf-8"?>
<ds:datastoreItem xmlns:ds="http://schemas.openxmlformats.org/officeDocument/2006/customXml" ds:itemID="{A9F2DFD7-4230-4D9A-8FCB-807F71FF263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C66E8C-4390-43FA-8732-74C1B5D4B091}">
  <ds:schemaRefs>
    <ds:schemaRef ds:uri="http://schemas.microsoft.com/office/2006/metadata/properties"/>
    <ds:schemaRef ds:uri="http://schemas.microsoft.com/office/infopath/2007/PartnerControls"/>
    <ds:schemaRef ds:uri="f90ca666-a4da-4145-adf2-fdd2ed1886b3"/>
    <ds:schemaRef ds:uri="be65f384-4aa3-43aa-8421-ed936bc8ec05"/>
    <ds:schemaRef ds:uri="b1c9ef8e-d4ce-4a73-ae93-652bab5427c9"/>
  </ds:schemaRefs>
</ds:datastoreItem>
</file>

<file path=customXml/itemProps4.xml><?xml version="1.0" encoding="utf-8"?>
<ds:datastoreItem xmlns:ds="http://schemas.openxmlformats.org/officeDocument/2006/customXml" ds:itemID="{93383940-DEC5-43AE-A4EA-3342D81401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Travel</vt:lpstr>
      <vt:lpstr>Sheet1</vt:lpstr>
      <vt:lpstr>drop list</vt:lpstr>
      <vt:lpstr>Sheet2</vt:lpstr>
      <vt:lpstr>Sheet4</vt:lpstr>
      <vt:lpstr>Sheet3</vt:lpstr>
      <vt:lpstr>drop list (2)</vt:lpstr>
      <vt:lpstr>'drop list (2)'!City</vt:lpstr>
      <vt:lpstr>Travel!Print_Area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AA</dc:creator>
  <cp:keywords/>
  <dc:description/>
  <cp:lastModifiedBy>MyWorld - Eaint Myat Noe Min</cp:lastModifiedBy>
  <cp:revision/>
  <dcterms:created xsi:type="dcterms:W3CDTF">2019-06-15T16:30:13Z</dcterms:created>
  <dcterms:modified xsi:type="dcterms:W3CDTF">2026-07-10T01:50:22Z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0x01010070F7DC4C4297FC4694E82A52CBC96047</vt:lpwstr>
  </property>
  <property fmtid="{D5CDD505-2E9C-101B-9397-08002B2CF9AE}" pid="3" name="MediaServiceImageTags">
    <vt:lpwstr/>
  </property>
</Properties>
</file>